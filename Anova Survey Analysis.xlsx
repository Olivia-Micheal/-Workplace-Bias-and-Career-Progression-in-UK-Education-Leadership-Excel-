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mc:AlternateContent xmlns:mc="http://schemas.openxmlformats.org/markup-compatibility/2006">
    <mc:Choice Requires="x15">
      <x15ac:absPath xmlns:x15ac="http://schemas.microsoft.com/office/spreadsheetml/2010/11/ac" url="C:\Users\OLIVIA\Desktop\Excel Projects\"/>
    </mc:Choice>
  </mc:AlternateContent>
  <xr:revisionPtr revIDLastSave="0" documentId="8_{494EABCC-4761-44F6-A012-CE208F504639}" xr6:coauthVersionLast="47" xr6:coauthVersionMax="47" xr10:uidLastSave="{00000000-0000-0000-0000-000000000000}"/>
  <bookViews>
    <workbookView xWindow="-108" yWindow="-108" windowWidth="23256" windowHeight="12456" firstSheet="1" activeTab="6" xr2:uid="{00000000-000D-0000-FFFF-FFFF00000000}"/>
  </bookViews>
  <sheets>
    <sheet name="Form Responses 1" sheetId="1" r:id="rId1"/>
    <sheet name="Coded Data" sheetId="4" r:id="rId2"/>
    <sheet name="Transpose column" sheetId="2" r:id="rId3"/>
    <sheet name="Coding Keys" sheetId="3" r:id="rId4"/>
    <sheet name="SUMMARY" sheetId="5" r:id="rId5"/>
    <sheet name="Anova Analysis " sheetId="6" r:id="rId6"/>
    <sheet name="DashBoard Page" sheetId="8" r:id="rId7"/>
  </sheets>
  <definedNames>
    <definedName name="Slicer_Age">#N/A</definedName>
    <definedName name="Slicer_Gende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R4" i="4" l="1"/>
  <c r="BR5" i="4"/>
  <c r="BR6" i="4"/>
  <c r="BR7" i="4"/>
  <c r="BR8" i="4"/>
  <c r="BR9" i="4"/>
  <c r="BR10" i="4"/>
  <c r="BR11" i="4"/>
  <c r="BR12" i="4"/>
  <c r="BR13" i="4"/>
  <c r="BR14" i="4"/>
  <c r="BR15" i="4"/>
  <c r="BR16" i="4"/>
  <c r="BR17" i="4"/>
  <c r="BR18" i="4"/>
  <c r="BR19" i="4"/>
  <c r="BR20" i="4"/>
  <c r="BR21" i="4"/>
  <c r="BR22" i="4"/>
  <c r="BR23" i="4"/>
  <c r="BR24" i="4"/>
  <c r="BR25" i="4"/>
  <c r="BR26" i="4"/>
  <c r="BR27" i="4"/>
  <c r="BR28" i="4"/>
  <c r="BR29" i="4"/>
  <c r="BR30" i="4"/>
  <c r="BR31" i="4"/>
  <c r="BR32" i="4"/>
  <c r="BR33" i="4"/>
  <c r="BR34" i="4"/>
  <c r="BR35" i="4"/>
  <c r="BR36" i="4"/>
  <c r="BR37" i="4"/>
  <c r="BR3" i="4"/>
  <c r="BQ11" i="4"/>
  <c r="BQ18" i="4"/>
  <c r="BQ34" i="4"/>
  <c r="BQ35" i="4"/>
  <c r="BP23" i="4"/>
  <c r="BP24" i="4"/>
  <c r="BO4" i="4"/>
  <c r="BQ4" i="4" s="1"/>
  <c r="BO5" i="4"/>
  <c r="BQ5" i="4" s="1"/>
  <c r="BO6" i="4"/>
  <c r="BQ6" i="4" s="1"/>
  <c r="BO7" i="4"/>
  <c r="BQ7" i="4" s="1"/>
  <c r="BO8" i="4"/>
  <c r="BQ8" i="4" s="1"/>
  <c r="BO9" i="4"/>
  <c r="BQ9" i="4" s="1"/>
  <c r="BO10" i="4"/>
  <c r="BQ10" i="4" s="1"/>
  <c r="BO11" i="4"/>
  <c r="BO12" i="4"/>
  <c r="BQ12" i="4" s="1"/>
  <c r="BO13" i="4"/>
  <c r="BQ13" i="4" s="1"/>
  <c r="BO14" i="4"/>
  <c r="BQ14" i="4" s="1"/>
  <c r="BO15" i="4"/>
  <c r="BQ15" i="4" s="1"/>
  <c r="BO16" i="4"/>
  <c r="BQ16" i="4" s="1"/>
  <c r="BO17" i="4"/>
  <c r="BQ17" i="4" s="1"/>
  <c r="BO18" i="4"/>
  <c r="BO19" i="4"/>
  <c r="BQ19" i="4" s="1"/>
  <c r="BO20" i="4"/>
  <c r="BQ20" i="4" s="1"/>
  <c r="BO21" i="4"/>
  <c r="BQ21" i="4" s="1"/>
  <c r="BO22" i="4"/>
  <c r="BQ22" i="4" s="1"/>
  <c r="BO23" i="4"/>
  <c r="BQ23" i="4" s="1"/>
  <c r="BO24" i="4"/>
  <c r="BQ24" i="4" s="1"/>
  <c r="BO25" i="4"/>
  <c r="BQ25" i="4" s="1"/>
  <c r="BO26" i="4"/>
  <c r="BQ26" i="4" s="1"/>
  <c r="BO27" i="4"/>
  <c r="BQ27" i="4" s="1"/>
  <c r="BO28" i="4"/>
  <c r="BQ28" i="4" s="1"/>
  <c r="BO29" i="4"/>
  <c r="BQ29" i="4" s="1"/>
  <c r="BO30" i="4"/>
  <c r="BQ30" i="4" s="1"/>
  <c r="BO31" i="4"/>
  <c r="BQ31" i="4" s="1"/>
  <c r="BO32" i="4"/>
  <c r="BQ32" i="4" s="1"/>
  <c r="BO33" i="4"/>
  <c r="BQ33" i="4" s="1"/>
  <c r="BO34" i="4"/>
  <c r="BO35" i="4"/>
  <c r="BO36" i="4"/>
  <c r="BQ36" i="4" s="1"/>
  <c r="BO37" i="4"/>
  <c r="BQ37" i="4" s="1"/>
  <c r="BO3" i="4"/>
  <c r="BQ3" i="4" s="1"/>
  <c r="BN4" i="4"/>
  <c r="BP4" i="4" s="1"/>
  <c r="BN5" i="4"/>
  <c r="BP5" i="4" s="1"/>
  <c r="BN6" i="4"/>
  <c r="BP6" i="4" s="1"/>
  <c r="BN7" i="4"/>
  <c r="BP7" i="4" s="1"/>
  <c r="BN8" i="4"/>
  <c r="BP8" i="4" s="1"/>
  <c r="BN9" i="4"/>
  <c r="BP9" i="4" s="1"/>
  <c r="BN10" i="4"/>
  <c r="BP10" i="4" s="1"/>
  <c r="BN11" i="4"/>
  <c r="BP11" i="4" s="1"/>
  <c r="BN12" i="4"/>
  <c r="BP12" i="4" s="1"/>
  <c r="BN13" i="4"/>
  <c r="BP13" i="4" s="1"/>
  <c r="BN14" i="4"/>
  <c r="BP14" i="4" s="1"/>
  <c r="BN15" i="4"/>
  <c r="BP15" i="4" s="1"/>
  <c r="BN16" i="4"/>
  <c r="BP16" i="4" s="1"/>
  <c r="BN17" i="4"/>
  <c r="BP17" i="4" s="1"/>
  <c r="BN18" i="4"/>
  <c r="BP18" i="4" s="1"/>
  <c r="BN19" i="4"/>
  <c r="BP19" i="4" s="1"/>
  <c r="BN20" i="4"/>
  <c r="BP20" i="4" s="1"/>
  <c r="BN21" i="4"/>
  <c r="BP21" i="4" s="1"/>
  <c r="BN22" i="4"/>
  <c r="BP22" i="4" s="1"/>
  <c r="BN23" i="4"/>
  <c r="BN24" i="4"/>
  <c r="BN25" i="4"/>
  <c r="BP25" i="4" s="1"/>
  <c r="BN26" i="4"/>
  <c r="BP26" i="4" s="1"/>
  <c r="BN27" i="4"/>
  <c r="BP27" i="4" s="1"/>
  <c r="BN28" i="4"/>
  <c r="BP28" i="4" s="1"/>
  <c r="BN29" i="4"/>
  <c r="BP29" i="4" s="1"/>
  <c r="BN30" i="4"/>
  <c r="BP30" i="4" s="1"/>
  <c r="BN31" i="4"/>
  <c r="BP31" i="4" s="1"/>
  <c r="BN32" i="4"/>
  <c r="BP32" i="4" s="1"/>
  <c r="BN33" i="4"/>
  <c r="BP33" i="4" s="1"/>
  <c r="BN34" i="4"/>
  <c r="BP34" i="4" s="1"/>
  <c r="BN35" i="4"/>
  <c r="BP35" i="4" s="1"/>
  <c r="BN36" i="4"/>
  <c r="BP36" i="4" s="1"/>
  <c r="BN37" i="4"/>
  <c r="BP37" i="4" s="1"/>
  <c r="BN3" i="4"/>
  <c r="BP3" i="4" s="1"/>
  <c r="Q50" i="5"/>
</calcChain>
</file>

<file path=xl/sharedStrings.xml><?xml version="1.0" encoding="utf-8"?>
<sst xmlns="http://schemas.openxmlformats.org/spreadsheetml/2006/main" count="2833" uniqueCount="206">
  <si>
    <t>Timestamp</t>
  </si>
  <si>
    <t>What is your identified gender?</t>
  </si>
  <si>
    <t>Which category below includes your age?</t>
  </si>
  <si>
    <t>Please choose what best describes you:</t>
  </si>
  <si>
    <t>Are you currently married, widowed, divorced, separated, or never married?</t>
  </si>
  <si>
    <t>What is the highest degree you have earned?</t>
  </si>
  <si>
    <t>How many children do you have?</t>
  </si>
  <si>
    <t>Select the category that best describes your current school district:</t>
  </si>
  <si>
    <t>At what age did you begin your career as superintendent?</t>
  </si>
  <si>
    <t>How many administrative positions did you hold before you began your superintendent position? Check all that apply.</t>
  </si>
  <si>
    <t>How many times did you apply for a superintendent position?</t>
  </si>
  <si>
    <t>How many times were you interviewed for a superintendent position?</t>
  </si>
  <si>
    <t>How important were the following incentives in making your decision to apply for a superintendent position? [Leadership opportunity]</t>
  </si>
  <si>
    <t>How important were the following incentives in making your decision to apply for a superintendent position? [Sense of achievement]</t>
  </si>
  <si>
    <t>How important were the following incentives in making your decision to apply for a superintendent position? [Opportunity for service]</t>
  </si>
  <si>
    <t>How important were the following incentives in making your decision to apply for a superintendent position? [Salary]</t>
  </si>
  <si>
    <t>How important were the following incentives in making your decision to apply for a superintendent position? [Self development and growth]</t>
  </si>
  <si>
    <t>How important were the following incentives in making your decision to apply for a superintendent position? [Power]</t>
  </si>
  <si>
    <t>How important were the following incentives in making your decision to apply for a superintendent position? [The students]</t>
  </si>
  <si>
    <t>How important were the following incentives in making your decision to apply for a superintendent position? [Mentoring opportunities]</t>
  </si>
  <si>
    <t>How concerned were you with the following discentives or challenges in making your decision to apply for a superintendent position? [Funding for public schools]</t>
  </si>
  <si>
    <t>How concerned were you with the following discentives or challenges in making your decision to apply for a superintendent position? [Family sacrifices]</t>
  </si>
  <si>
    <t>How concerned were you with the following discentives or challenges in making your decision to apply for a superintendent position? [School board relations/challenges]</t>
  </si>
  <si>
    <t>How concerned were you with the following discentives or challenges in making your decision to apply for a superintendent position? [Exclusion from established network system]</t>
  </si>
  <si>
    <t>How concerned were you with the following discentives or challenges in making your decision to apply for a superintendent position? [Possibility of relocation]</t>
  </si>
  <si>
    <t>How concerned were you with the following discentives or challenges in making your decision to apply for a superintendent position? [Age]</t>
  </si>
  <si>
    <t>How concerned were you with the following discentives or challenges in making your decision to apply for a superintendent position? [Experience]</t>
  </si>
  <si>
    <t>How concerned were you with the following discentives or challenges in making your decision to apply for a superintendent position? [Appearance]</t>
  </si>
  <si>
    <t>How concerned were you with the following discentives or challenges in making your decision to apply for a superintendent position? [Gender]</t>
  </si>
  <si>
    <t>Do you have or have you ever had a mentor that encouraged or supported your career aspirations?</t>
  </si>
  <si>
    <t>Do you currently serve or have you ever served as a mentor who has encouraged or supported the career aspirations of others?</t>
  </si>
  <si>
    <t>I believe that my gender has had an effect on the trajectory of my career.</t>
  </si>
  <si>
    <t>I believe that my gender impacts the way in which others interact with me professionally.</t>
  </si>
  <si>
    <t>I feel that I need to alter my actions to demonstrate less feminine or more masculine qualities while performing my job.</t>
  </si>
  <si>
    <t>I feel that I need to alter my talk to demonstrate less feminine or more masculine qualities while performing my job.</t>
  </si>
  <si>
    <t>I feel that I need to alter my physical appearance to demonstrate less feminine or more masculine qualities while performing my job.</t>
  </si>
  <si>
    <t>Have you or did you ever intentionally do the following while preparing for an interview for a superintendent position? [Dyed hair.]</t>
  </si>
  <si>
    <t>Have you or did you ever intentionally do the following while preparing for an interview for a superintendent position? [Kept hair short (shoulder length or above) or pulled back (ponytail, bun).]</t>
  </si>
  <si>
    <t>Have you or did you ever intentionally do the following while preparing for an interview for a superintendent position? [Toned down makeup.]</t>
  </si>
  <si>
    <t>Have you or did you ever intentionally do the following while preparing for an interview for a superintendent position? [Wore perfume/ cologne.]</t>
  </si>
  <si>
    <t>Have you or did you ever intentionally do the following while preparing for an interview for a superintendent position? [Wore jewelry to enhance appearance.]</t>
  </si>
  <si>
    <t>Have you or did you ever intentionally do the following while preparing for an interview for a superintendent position? [Wore jewelry associated with faith.]</t>
  </si>
  <si>
    <t>Have you or did you ever intentionally do the following while preparing for an interview for a superintendent position? [Painted nails neutral colors.]</t>
  </si>
  <si>
    <t>Have you or did you ever intentionally do the following while preparing for an interview for a superintendent position? [Wore clothes that hide body figure (loose, oversized).).]</t>
  </si>
  <si>
    <t>Have you or did you ever intentionally do the following while preparing for an interview for a superintendent position? [Wore pants more often than a dress/skirt.]</t>
  </si>
  <si>
    <t>Have you or did you ever intentionally do the following while preparing for an interview for a superintendent position? [Wore neutral or dark clothes.]</t>
  </si>
  <si>
    <t>Have you or did you ever intentionally do the following while preparing for an interview for a superintendent position? [Felt the need to wear heels.]</t>
  </si>
  <si>
    <t>Have you or did you ever intentionally do the following while preparing for an interview for a superintendent position? [Diet in order to lose/ maintain my weight mainly to enhance self professionally.]</t>
  </si>
  <si>
    <t>Have you ever or do you currently intentionally do the following while serving as a superintendent? [Dye hair.]</t>
  </si>
  <si>
    <t>Have you ever or do you currently intentionally do the following while serving as a superintendent? [Keep hair short (shoulder length or above).]</t>
  </si>
  <si>
    <t>Have you ever or do you currently intentionally do the following while serving as a superintendent? [Tone down makeup.]</t>
  </si>
  <si>
    <t>Have you ever or do you currently intentionally do the following while serving as a superintendent? [Wear perfume/ cologne.]</t>
  </si>
  <si>
    <t>Have you ever or do you currently intentionally do the following while serving as a superintendent? [Wear jewelry to enhance appearance.]</t>
  </si>
  <si>
    <t>Have you ever or do you currently intentionally do the following while serving as a superintendent? [Wear jewelry associated with faith.]</t>
  </si>
  <si>
    <t>Have you ever or do you currently intentionally do the following while serving as a superintendent? [Paint nails neutral colors.]</t>
  </si>
  <si>
    <t>Have you ever or do you currently intentionally do the following while serving as a superintendent? [Wear clothes that hide body figure (loose, oversized).]</t>
  </si>
  <si>
    <t>Have you ever or do you currently intentionally do the following while serving as a superintendent? [Wear pants more often than a dress/skirt.]</t>
  </si>
  <si>
    <t>Have you ever or do you currently intentionally do the following while serving as a superintendent? [Wear neutral or dark clothes.]</t>
  </si>
  <si>
    <t>Have you ever or do you currently intentionally do the following while serving as a superintendent? [Feel the need to wear heels.]</t>
  </si>
  <si>
    <t>Have you ever or do you currently intentionally do the following while serving as a superintendent? [Diet in order to lose/ maintain weight.]</t>
  </si>
  <si>
    <t>Have you ever or do you currently intentionally do the following while serving as a superintendent? [Diet in order to lose/ maintain my weight mainly to enhance self professionally.]</t>
  </si>
  <si>
    <t>If you are interested in being interviewed further by the researcher on this topic, please indicate below by leaving an email address or phone number. The researcher will reach out to you with a phone number to contact to set up an anonymous phone interview.</t>
  </si>
  <si>
    <t>Please confirm that you have read the informed consent form and agree to a waiver of documentation of informed consent. As a reminder, this form is completely anonymous in that you will submit through the Google platform and your email address will not be collected.</t>
  </si>
  <si>
    <t>How many superintendent positions have you held prior to the one you are sitting in now? (This does not include assistant superintendent positions)</t>
  </si>
  <si>
    <t>60+</t>
  </si>
  <si>
    <t>White</t>
  </si>
  <si>
    <t>Divorced</t>
  </si>
  <si>
    <t>EdD or PhD</t>
  </si>
  <si>
    <t>Low Need</t>
  </si>
  <si>
    <t>55-60</t>
  </si>
  <si>
    <t>Assistant Principal, Principal, Assistant Superintendent</t>
  </si>
  <si>
    <t>1-2</t>
  </si>
  <si>
    <t>Very important</t>
  </si>
  <si>
    <t>Moderately important</t>
  </si>
  <si>
    <t>Not important</t>
  </si>
  <si>
    <t>Not at all concerned</t>
  </si>
  <si>
    <t>Moderately concerned</t>
  </si>
  <si>
    <t>Slightly concerned</t>
  </si>
  <si>
    <t>Yes</t>
  </si>
  <si>
    <t>Undecided</t>
  </si>
  <si>
    <t>Agree</t>
  </si>
  <si>
    <t>Very Rarely</t>
  </si>
  <si>
    <t>Occasionally</t>
  </si>
  <si>
    <t>Sometimes</t>
  </si>
  <si>
    <t>No</t>
  </si>
  <si>
    <t>One</t>
  </si>
  <si>
    <t>Married</t>
  </si>
  <si>
    <t>I don't have children</t>
  </si>
  <si>
    <t>High Need</t>
  </si>
  <si>
    <t>50-54</t>
  </si>
  <si>
    <t>Chairperson, Director, Executive Director, Supervisor, Assistant Superintendent, Deputy Superintendent</t>
  </si>
  <si>
    <t>3-5</t>
  </si>
  <si>
    <t>Slightly important</t>
  </si>
  <si>
    <t>Very concerned</t>
  </si>
  <si>
    <t>Somewhat concerned</t>
  </si>
  <si>
    <t>Strongly Agree</t>
  </si>
  <si>
    <t>Never</t>
  </si>
  <si>
    <t>Does not apply to me</t>
  </si>
  <si>
    <t>5+</t>
  </si>
  <si>
    <t>Average Need</t>
  </si>
  <si>
    <t>Chairperson, Director, Assistant Superintendent</t>
  </si>
  <si>
    <t>Somewhat important</t>
  </si>
  <si>
    <t>none</t>
  </si>
  <si>
    <t>Black or African-American</t>
  </si>
  <si>
    <t>Director, Principal, Supervisor, Assistant Superintendent</t>
  </si>
  <si>
    <t>8+</t>
  </si>
  <si>
    <t>6-7</t>
  </si>
  <si>
    <t>45-49</t>
  </si>
  <si>
    <t>Director, Assistant Superintendent</t>
  </si>
  <si>
    <t>Very Frequently</t>
  </si>
  <si>
    <t>Graduate degree</t>
  </si>
  <si>
    <t>Director, Assistant Principal, Assistant Superintendent, Dean</t>
  </si>
  <si>
    <t>Rarely</t>
  </si>
  <si>
    <t>40-44</t>
  </si>
  <si>
    <t>Director, Assistant Principal, Principal, Assistant Superintendent</t>
  </si>
  <si>
    <t>one</t>
  </si>
  <si>
    <t>Chairperson, Director, Assistant Principal, Principal, Supervisor</t>
  </si>
  <si>
    <t xml:space="preserve">None. This is my first one. </t>
  </si>
  <si>
    <t>35-39</t>
  </si>
  <si>
    <t>Director, Executive Director, Assistant Superintendent</t>
  </si>
  <si>
    <t>Disagree</t>
  </si>
  <si>
    <t>Male</t>
  </si>
  <si>
    <t>Director, Assistant Principal, Assistant Superintendent</t>
  </si>
  <si>
    <t>This is my first superintendency.</t>
  </si>
  <si>
    <t>hispanic</t>
  </si>
  <si>
    <t>zero</t>
  </si>
  <si>
    <t>Assistant Principal, Principal, Assistant Superintendent, Deputy Superintendent</t>
  </si>
  <si>
    <t>Director, Assistant Principal, Principal, Assistant Superintendent, Deputy Superintendent</t>
  </si>
  <si>
    <t>Assistant Principal, Principal, Deputy Superintendent</t>
  </si>
  <si>
    <t>30-34</t>
  </si>
  <si>
    <t>Assistant Principal, Principal</t>
  </si>
  <si>
    <t>None</t>
  </si>
  <si>
    <t>Principal</t>
  </si>
  <si>
    <t>Director, Assistant Principal, Administrative Coordinator</t>
  </si>
  <si>
    <t>Chairperson, Director, Executive Director, Assistant Superintendent</t>
  </si>
  <si>
    <t>Chairperson, Assistant Principal, Principal, Assistant Superintendent</t>
  </si>
  <si>
    <t>Assistant Principal, Principal, Supervisor, Assistant Superintendent</t>
  </si>
  <si>
    <t xml:space="preserve">None </t>
  </si>
  <si>
    <t>Chairperson, Assistant Principal, Principal</t>
  </si>
  <si>
    <t>Assistant Principal, Supervisor, Assistant Superintendent</t>
  </si>
  <si>
    <t xml:space="preserve">Column Name </t>
  </si>
  <si>
    <t>Text Value</t>
  </si>
  <si>
    <t>Coded Number</t>
  </si>
  <si>
    <t>Female</t>
  </si>
  <si>
    <t>How concerned were you Questions</t>
  </si>
  <si>
    <t>How important Questions</t>
  </si>
  <si>
    <t>3 roles</t>
  </si>
  <si>
    <t>1 roles</t>
  </si>
  <si>
    <t>5 roles</t>
  </si>
  <si>
    <t>2 roles</t>
  </si>
  <si>
    <t>4 roles</t>
  </si>
  <si>
    <t>6 roles</t>
  </si>
  <si>
    <t>Administrative Position Held</t>
  </si>
  <si>
    <t>Perceived Professional Bias</t>
  </si>
  <si>
    <t>Perceived Bias (PB)</t>
  </si>
  <si>
    <t>PB</t>
  </si>
  <si>
    <t>PPE</t>
  </si>
  <si>
    <t>If you are interested in being interviewed further by the researcher on this topic, please indicate below by leaving an email address or phone number. The researcher will reach out to you with a phone number to contact to set up an a0nymous phone interview.</t>
  </si>
  <si>
    <t>Please confirm that you have read the informed consent form and agree to a waiver of documentation of informed consent. As a reminder, this form is completely a0nymous in that you will submit through the Google platform and your email address will 0t be collected.</t>
  </si>
  <si>
    <t>How many superintendent positions have you held prior to the one you are sitting in 0w? (This does 0t include assistant superintendent positions)</t>
  </si>
  <si>
    <t>0ne</t>
  </si>
  <si>
    <t xml:space="preserve">0ne. This is my first one. </t>
  </si>
  <si>
    <t xml:space="preserve">0ne </t>
  </si>
  <si>
    <t>Career Progression</t>
  </si>
  <si>
    <t>Experience</t>
  </si>
  <si>
    <t>Age</t>
  </si>
  <si>
    <t>Gender</t>
  </si>
  <si>
    <t>CP</t>
  </si>
  <si>
    <t>Anova: Single Factor</t>
  </si>
  <si>
    <t>SUMMARY</t>
  </si>
  <si>
    <t>Groups</t>
  </si>
  <si>
    <t>Count</t>
  </si>
  <si>
    <t>Sum</t>
  </si>
  <si>
    <t>Average</t>
  </si>
  <si>
    <t>Variance</t>
  </si>
  <si>
    <t>ANOVA</t>
  </si>
  <si>
    <t>Source of Variation</t>
  </si>
  <si>
    <t>SS</t>
  </si>
  <si>
    <t>df</t>
  </si>
  <si>
    <t>MS</t>
  </si>
  <si>
    <t>F</t>
  </si>
  <si>
    <t>P-value</t>
  </si>
  <si>
    <t>F crit</t>
  </si>
  <si>
    <t>Between Groups</t>
  </si>
  <si>
    <t>Within Groups</t>
  </si>
  <si>
    <t>Total</t>
  </si>
  <si>
    <t>Demographics</t>
  </si>
  <si>
    <t>Row Labels</t>
  </si>
  <si>
    <t>Grand Total</t>
  </si>
  <si>
    <t>Average of PB</t>
  </si>
  <si>
    <t>Gender Vs PB</t>
  </si>
  <si>
    <t>Cp vs experience</t>
  </si>
  <si>
    <t>Age vs PB</t>
  </si>
  <si>
    <t>Gender Vs Cp</t>
  </si>
  <si>
    <t>Average of PPE</t>
  </si>
  <si>
    <t>Average of CP</t>
  </si>
  <si>
    <t>demographics by PPE</t>
  </si>
  <si>
    <t>35 - 39</t>
  </si>
  <si>
    <t>40 - 44</t>
  </si>
  <si>
    <t>45 - 49</t>
  </si>
  <si>
    <t>50 - 54</t>
  </si>
  <si>
    <t>55 - 60</t>
  </si>
  <si>
    <t xml:space="preserve"> 4 roles</t>
  </si>
  <si>
    <t xml:space="preserve"> 5 roles</t>
  </si>
  <si>
    <t>Count of Gender</t>
  </si>
  <si>
    <t xml:space="preserve">Have you or did you ever intentionally Questions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</si>
</sst>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0"/>
      <color rgb="FF000000"/>
      <name val="Arial"/>
      <scheme val="minor"/>
    </font>
    <font>
      <sz val="10"/>
      <color theme="1"/>
      <name val="Arial"/>
      <family val="2"/>
      <scheme val="minor"/>
    </font>
    <font>
      <b/>
      <sz val="10"/>
      <color rgb="FF000000"/>
      <name val="Arial"/>
      <family val="2"/>
      <scheme val="minor"/>
    </font>
    <font>
      <sz val="8"/>
      <name val="Arial"/>
      <scheme val="minor"/>
    </font>
    <font>
      <i/>
      <sz val="10"/>
      <color rgb="FF000000"/>
      <name val="Arial"/>
      <family val="2"/>
      <scheme val="minor"/>
    </font>
    <font>
      <sz val="10"/>
      <color rgb="FF000000"/>
      <name val="Arial"/>
      <family val="2"/>
      <scheme val="minor"/>
    </font>
  </fonts>
  <fills count="3">
    <fill>
      <patternFill patternType="none"/>
    </fill>
    <fill>
      <patternFill patternType="gray125"/>
    </fill>
    <fill>
      <patternFill patternType="solid">
        <fgColor theme="4" tint="0.79998168889431442"/>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3">
    <xf numFmtId="0" fontId="0" fillId="0" borderId="0" xfId="0"/>
    <xf numFmtId="0" fontId="1" fillId="0" borderId="0" xfId="0" applyFont="1"/>
    <xf numFmtId="0" fontId="1" fillId="0" borderId="0" xfId="0" applyFont="1" applyAlignment="1">
      <alignment horizontal="center"/>
    </xf>
    <xf numFmtId="0" fontId="1" fillId="0" borderId="0" xfId="0" quotePrefix="1" applyFont="1"/>
    <xf numFmtId="0" fontId="1" fillId="0" borderId="0" xfId="0" applyFont="1" applyAlignment="1">
      <alignment horizontal="left"/>
    </xf>
    <xf numFmtId="0" fontId="2" fillId="0" borderId="0" xfId="0" applyFont="1"/>
    <xf numFmtId="0" fontId="0" fillId="0" borderId="1" xfId="0" applyBorder="1"/>
    <xf numFmtId="0" fontId="4" fillId="0" borderId="2" xfId="0" applyFont="1" applyBorder="1" applyAlignment="1">
      <alignment horizontal="center"/>
    </xf>
    <xf numFmtId="0" fontId="5" fillId="0" borderId="0" xfId="0" applyFont="1"/>
    <xf numFmtId="0" fontId="0" fillId="0" borderId="0" xfId="0" pivotButton="1"/>
    <xf numFmtId="0" fontId="0" fillId="0" borderId="0" xfId="0" applyAlignment="1">
      <alignment horizontal="left"/>
    </xf>
    <xf numFmtId="0" fontId="0" fillId="2" borderId="0" xfId="0" applyFill="1"/>
    <xf numFmtId="2" fontId="0" fillId="0" borderId="0" xfId="0" applyNumberFormat="1"/>
  </cellXfs>
  <cellStyles count="1">
    <cellStyle name="Normal" xfId="0" builtinId="0"/>
  </cellStyles>
  <dxfs count="4">
    <dxf>
      <font>
        <b/>
        <i val="0"/>
        <color rgb="FF962125"/>
      </font>
      <border diagonalUp="0" diagonalDown="0">
        <left/>
        <right/>
        <top/>
        <bottom/>
        <vertical/>
        <horizontal/>
      </border>
    </dxf>
    <dxf>
      <fill>
        <patternFill>
          <bgColor rgb="FFF0EFF4"/>
        </patternFill>
      </fill>
      <border diagonalUp="0" diagonalDown="0">
        <left/>
        <right/>
        <top/>
        <bottom/>
        <vertical/>
        <horizontal/>
      </border>
    </dxf>
    <dxf>
      <font>
        <b/>
        <i val="0"/>
        <color rgb="FF962125"/>
      </font>
      <border diagonalUp="0" diagonalDown="0">
        <left/>
        <right/>
        <top/>
        <bottom/>
        <vertical/>
        <horizontal/>
      </border>
    </dxf>
    <dxf>
      <fill>
        <patternFill>
          <bgColor rgb="FFF0EFF4"/>
        </patternFill>
      </fill>
      <border diagonalUp="0" diagonalDown="0">
        <left/>
        <right/>
        <top/>
        <bottom/>
        <vertical/>
        <horizontal/>
      </border>
    </dxf>
  </dxfs>
  <tableStyles count="3" defaultTableStyle="TableStyleMedium2" defaultPivotStyle="PivotStyleLight16">
    <tableStyle name="Invisible" pivot="0" table="0" count="0" xr9:uid="{C66846EA-8A8A-4C0E-876E-CFCEE8BFE1EB}"/>
    <tableStyle name="Slicer Style 1" pivot="0" table="0" count="6" xr9:uid="{2B36D7D1-4716-4BCE-8769-3BD3C6F68C0C}">
      <tableStyleElement type="wholeTable" dxfId="3"/>
      <tableStyleElement type="headerRow" dxfId="2"/>
    </tableStyle>
    <tableStyle name="Slicer Style 2" pivot="0" table="0" count="8" xr9:uid="{3822D170-2386-4050-B777-50D14AA4B57B}">
      <tableStyleElement type="wholeTable" dxfId="1"/>
      <tableStyleElement type="headerRow" dxfId="0"/>
    </tableStyle>
  </tableStyles>
  <colors>
    <mruColors>
      <color rgb="FFEBACB3"/>
      <color rgb="FFF04C56"/>
      <color rgb="FFF0EFF4"/>
      <color rgb="FFDD565E"/>
      <color rgb="FFED4C52"/>
      <color rgb="FF962125"/>
      <color rgb="FF932325"/>
      <color rgb="FF972024"/>
      <color rgb="FFFBEBEE"/>
    </mruColors>
  </colors>
  <extLst>
    <ext xmlns:x14="http://schemas.microsoft.com/office/spreadsheetml/2009/9/main" uri="{46F421CA-312F-682f-3DD2-61675219B42D}">
      <x14:dxfs count="10">
        <dxf>
          <font>
            <b/>
            <i val="0"/>
            <color rgb="FFF0EFF4"/>
          </font>
          <fill>
            <patternFill>
              <bgColor rgb="FFED4C52"/>
            </patternFill>
          </fill>
          <border diagonalUp="0" diagonalDown="0">
            <left/>
            <right/>
            <top/>
            <bottom/>
            <vertical/>
            <horizontal/>
          </border>
        </dxf>
        <dxf>
          <font>
            <color rgb="FFF0EFF4"/>
          </font>
          <fill>
            <patternFill>
              <bgColor rgb="FF962125"/>
            </patternFill>
          </fill>
          <border diagonalUp="0" diagonalDown="0">
            <left/>
            <right/>
            <top/>
            <bottom/>
            <vertical/>
            <horizontal/>
          </border>
        </dxf>
        <dxf>
          <font>
            <b/>
            <i val="0"/>
            <color rgb="FFF0EFF4"/>
          </font>
          <fill>
            <patternFill>
              <bgColor rgb="FFF04C56"/>
            </patternFill>
          </fill>
          <border diagonalUp="0" diagonalDown="0">
            <left/>
            <right/>
            <top/>
            <bottom/>
            <vertical/>
            <horizontal/>
          </border>
        </dxf>
        <dxf>
          <font>
            <b/>
            <i val="0"/>
            <color rgb="FFF0EFF4"/>
          </font>
          <fill>
            <patternFill>
              <bgColor rgb="FF932325"/>
            </patternFill>
          </fill>
          <border diagonalUp="0" diagonalDown="0">
            <left/>
            <right/>
            <top/>
            <bottom/>
            <vertical/>
            <horizontal/>
          </border>
        </dxf>
        <dxf>
          <font>
            <b/>
            <i val="0"/>
            <color theme="1" tint="0.499984740745262"/>
          </font>
          <fill>
            <patternFill>
              <bgColor theme="2" tint="-4.9989318521683403E-2"/>
            </patternFill>
          </fill>
          <border diagonalUp="0" diagonalDown="0">
            <left/>
            <right/>
            <top/>
            <bottom/>
            <vertical/>
            <horizontal/>
          </border>
        </dxf>
        <dxf>
          <font>
            <b/>
            <i val="0"/>
            <color rgb="FF932325"/>
          </font>
          <fill>
            <patternFill>
              <bgColor rgb="FFF0EFF4"/>
            </patternFill>
          </fill>
          <border diagonalUp="0" diagonalDown="0">
            <left/>
            <right/>
            <top/>
            <bottom/>
            <vertical/>
            <horizontal/>
          </border>
        </dxf>
        <dxf>
          <font>
            <color rgb="FFF0EFF4"/>
          </font>
          <fill>
            <patternFill>
              <bgColor rgb="FF972024"/>
            </patternFill>
          </fill>
          <border diagonalUp="0" diagonalDown="0">
            <left/>
            <right/>
            <top/>
            <bottom/>
            <vertical/>
            <horizontal/>
          </border>
        </dxf>
        <dxf>
          <font>
            <color rgb="FFF0EFF4"/>
          </font>
          <fill>
            <patternFill>
              <bgColor rgb="FF972024"/>
            </patternFill>
          </fill>
          <border diagonalUp="0" diagonalDown="0">
            <left/>
            <right/>
            <top/>
            <bottom/>
            <vertical/>
            <horizontal/>
          </border>
        </dxf>
        <dxf>
          <font>
            <color rgb="FFF0EFF4"/>
          </font>
          <fill>
            <patternFill>
              <bgColor rgb="FFF0EFF4"/>
            </patternFill>
          </fill>
          <border diagonalUp="0" diagonalDown="0">
            <left/>
            <right/>
            <top/>
            <bottom/>
            <vertical/>
            <horizontal/>
          </border>
        </dxf>
        <dxf>
          <font>
            <color rgb="FFF0EFF4"/>
          </font>
          <fill>
            <patternFill>
              <bgColor rgb="FFF0EFF4"/>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9"/>
            <x14:slicerStyleElement type="unselectedItemWithNoData" dxfId="8"/>
            <x14:slicerStyleElement type="selectedItemWithData" dxfId="7"/>
            <x14:slicerStyleElement type="selectedItemWithNoData" dxfId="6"/>
          </x14:slicerStyleElements>
        </x14:slicerStyle>
        <x14:slicerStyle name="Slicer Style 2">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[Anova Survey Analysis.xlsx]SUMMARY!PivotTable1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D56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83564238014554"/>
          <c:y val="3.9855357754193771E-2"/>
          <c:w val="0.73546815508820895"/>
          <c:h val="0.95652173913043481"/>
        </c:manualLayout>
      </c:layout>
      <c:barChart>
        <c:barDir val="bar"/>
        <c:grouping val="clustered"/>
        <c:varyColors val="0"/>
        <c:ser>
          <c:idx val="0"/>
          <c:order val="0"/>
          <c:tx>
            <c:strRef>
              <c:f>SUMMARY!$B$49</c:f>
              <c:strCache>
                <c:ptCount val="1"/>
                <c:pt idx="0">
                  <c:v>Total</c:v>
                </c:pt>
              </c:strCache>
            </c:strRef>
          </c:tx>
          <c:spPr>
            <a:solidFill>
              <a:srgbClr val="DD565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SUMMARY!$A$50:$A$51</c:f>
              <c:strCache>
                <c:ptCount val="1"/>
                <c:pt idx="0">
                  <c:v>Male</c:v>
                </c:pt>
              </c:strCache>
            </c:strRef>
          </c:cat>
          <c:val>
            <c:numRef>
              <c:f>SUMMARY!$B$50:$B$51</c:f>
              <c:numCache>
                <c:formatCode>General</c:formatCode>
                <c:ptCount val="1"/>
                <c:pt idx="0">
                  <c:v>20.399999999999999</c:v>
                </c:pt>
              </c:numCache>
            </c:numRef>
          </c:val>
          <c:extLst>
            <c:ext xmlns:c16="http://schemas.microsoft.com/office/drawing/2014/chart" uri="{C3380CC4-5D6E-409C-BE32-E72D297353CC}">
              <c16:uniqueId val="{00000000-B66C-4AF0-A298-1CDBBBDEC488}"/>
            </c:ext>
          </c:extLst>
        </c:ser>
        <c:dLbls>
          <c:dLblPos val="outEnd"/>
          <c:showLegendKey val="0"/>
          <c:showVal val="1"/>
          <c:showCatName val="0"/>
          <c:showSerName val="0"/>
          <c:showPercent val="0"/>
          <c:showBubbleSize val="0"/>
        </c:dLbls>
        <c:gapWidth val="182"/>
        <c:axId val="1796776112"/>
        <c:axId val="1796771952"/>
      </c:barChart>
      <c:catAx>
        <c:axId val="179677611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96771952"/>
        <c:crosses val="autoZero"/>
        <c:auto val="1"/>
        <c:lblAlgn val="ctr"/>
        <c:lblOffset val="100"/>
        <c:noMultiLvlLbl val="0"/>
      </c:catAx>
      <c:valAx>
        <c:axId val="1796771952"/>
        <c:scaling>
          <c:orientation val="minMax"/>
        </c:scaling>
        <c:delete val="1"/>
        <c:axPos val="b"/>
        <c:numFmt formatCode="General" sourceLinked="1"/>
        <c:majorTickMark val="none"/>
        <c:minorTickMark val="none"/>
        <c:tickLblPos val="nextTo"/>
        <c:crossAx val="1796776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[Anova Survey Analysis.xlsx]SUMMARY!PivotTable4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D56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3292334808514"/>
          <c:y val="2.564102564102564E-2"/>
          <c:w val="0.67384436216996058"/>
          <c:h val="0.97435897435897434"/>
        </c:manualLayout>
      </c:layout>
      <c:barChart>
        <c:barDir val="bar"/>
        <c:grouping val="clustered"/>
        <c:varyColors val="0"/>
        <c:ser>
          <c:idx val="0"/>
          <c:order val="0"/>
          <c:tx>
            <c:strRef>
              <c:f>SUMMARY!$L$49</c:f>
              <c:strCache>
                <c:ptCount val="1"/>
                <c:pt idx="0">
                  <c:v>Total</c:v>
                </c:pt>
              </c:strCache>
            </c:strRef>
          </c:tx>
          <c:spPr>
            <a:solidFill>
              <a:srgbClr val="DD565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SUMMARY!$K$50:$K$51</c:f>
              <c:strCache>
                <c:ptCount val="1"/>
                <c:pt idx="0">
                  <c:v>Male</c:v>
                </c:pt>
              </c:strCache>
            </c:strRef>
          </c:cat>
          <c:val>
            <c:numRef>
              <c:f>SUMMARY!$L$50:$L$51</c:f>
              <c:numCache>
                <c:formatCode>General</c:formatCode>
                <c:ptCount val="1"/>
                <c:pt idx="0">
                  <c:v>1.88</c:v>
                </c:pt>
              </c:numCache>
            </c:numRef>
          </c:val>
          <c:extLst>
            <c:ext xmlns:c16="http://schemas.microsoft.com/office/drawing/2014/chart" uri="{C3380CC4-5D6E-409C-BE32-E72D297353CC}">
              <c16:uniqueId val="{00000000-1A63-479E-B475-40F721AFB3BC}"/>
            </c:ext>
          </c:extLst>
        </c:ser>
        <c:dLbls>
          <c:dLblPos val="outEnd"/>
          <c:showLegendKey val="0"/>
          <c:showVal val="1"/>
          <c:showCatName val="0"/>
          <c:showSerName val="0"/>
          <c:showPercent val="0"/>
          <c:showBubbleSize val="0"/>
        </c:dLbls>
        <c:gapWidth val="182"/>
        <c:axId val="1893373136"/>
        <c:axId val="1893360656"/>
      </c:barChart>
      <c:catAx>
        <c:axId val="189337313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93360656"/>
        <c:crosses val="autoZero"/>
        <c:auto val="1"/>
        <c:lblAlgn val="ctr"/>
        <c:lblOffset val="100"/>
        <c:noMultiLvlLbl val="0"/>
      </c:catAx>
      <c:valAx>
        <c:axId val="1893360656"/>
        <c:scaling>
          <c:orientation val="minMax"/>
        </c:scaling>
        <c:delete val="1"/>
        <c:axPos val="b"/>
        <c:numFmt formatCode="General" sourceLinked="1"/>
        <c:majorTickMark val="none"/>
        <c:minorTickMark val="none"/>
        <c:tickLblPos val="nextTo"/>
        <c:crossAx val="1893373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[Anova Survey Analysis.xlsx]SUMMARY!PivotTable5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D56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78993858577113"/>
          <c:y val="2.1831652962198921E-2"/>
          <c:w val="0.75365939627156442"/>
          <c:h val="0.95736002556875976"/>
        </c:manualLayout>
      </c:layout>
      <c:barChart>
        <c:barDir val="bar"/>
        <c:grouping val="clustered"/>
        <c:varyColors val="0"/>
        <c:ser>
          <c:idx val="0"/>
          <c:order val="0"/>
          <c:tx>
            <c:strRef>
              <c:f>SUMMARY!$O$49</c:f>
              <c:strCache>
                <c:ptCount val="1"/>
                <c:pt idx="0">
                  <c:v>Total</c:v>
                </c:pt>
              </c:strCache>
            </c:strRef>
          </c:tx>
          <c:spPr>
            <a:solidFill>
              <a:srgbClr val="DD565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SUMMARY!$N$50:$N$51</c:f>
              <c:strCache>
                <c:ptCount val="1"/>
                <c:pt idx="0">
                  <c:v>Male</c:v>
                </c:pt>
              </c:strCache>
            </c:strRef>
          </c:cat>
          <c:val>
            <c:numRef>
              <c:f>SUMMARY!$O$50:$O$51</c:f>
              <c:numCache>
                <c:formatCode>General</c:formatCode>
                <c:ptCount val="1"/>
                <c:pt idx="0">
                  <c:v>16.52</c:v>
                </c:pt>
              </c:numCache>
            </c:numRef>
          </c:val>
          <c:extLst>
            <c:ext xmlns:c16="http://schemas.microsoft.com/office/drawing/2014/chart" uri="{C3380CC4-5D6E-409C-BE32-E72D297353CC}">
              <c16:uniqueId val="{00000000-0253-46BC-BF87-4669625B06DA}"/>
            </c:ext>
          </c:extLst>
        </c:ser>
        <c:dLbls>
          <c:dLblPos val="outEnd"/>
          <c:showLegendKey val="0"/>
          <c:showVal val="1"/>
          <c:showCatName val="0"/>
          <c:showSerName val="0"/>
          <c:showPercent val="0"/>
          <c:showBubbleSize val="0"/>
        </c:dLbls>
        <c:gapWidth val="242"/>
        <c:axId val="1893359824"/>
        <c:axId val="1893374800"/>
      </c:barChart>
      <c:catAx>
        <c:axId val="189335982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93374800"/>
        <c:crosses val="autoZero"/>
        <c:auto val="1"/>
        <c:lblAlgn val="ctr"/>
        <c:lblOffset val="100"/>
        <c:noMultiLvlLbl val="0"/>
      </c:catAx>
      <c:valAx>
        <c:axId val="1893374800"/>
        <c:scaling>
          <c:orientation val="minMax"/>
        </c:scaling>
        <c:delete val="1"/>
        <c:axPos val="b"/>
        <c:numFmt formatCode="General" sourceLinked="1"/>
        <c:majorTickMark val="none"/>
        <c:minorTickMark val="none"/>
        <c:tickLblPos val="nextTo"/>
        <c:crossAx val="1893359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[Anova Survey Analysis.xlsx]SUMMARY!PivotTable2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D56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7151378804922"/>
          <c:y val="8.3832335329341312E-2"/>
          <c:w val="0.74601530884336664"/>
          <c:h val="0.89832335329341328"/>
        </c:manualLayout>
      </c:layout>
      <c:barChart>
        <c:barDir val="bar"/>
        <c:grouping val="clustered"/>
        <c:varyColors val="0"/>
        <c:ser>
          <c:idx val="0"/>
          <c:order val="0"/>
          <c:tx>
            <c:strRef>
              <c:f>SUMMARY!$F$49</c:f>
              <c:strCache>
                <c:ptCount val="1"/>
                <c:pt idx="0">
                  <c:v>Total</c:v>
                </c:pt>
              </c:strCache>
            </c:strRef>
          </c:tx>
          <c:spPr>
            <a:solidFill>
              <a:srgbClr val="DD565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SUMMARY!$E$50:$E$56</c:f>
              <c:strCache>
                <c:ptCount val="6"/>
                <c:pt idx="0">
                  <c:v>35 - 39</c:v>
                </c:pt>
                <c:pt idx="1">
                  <c:v>40 - 44</c:v>
                </c:pt>
                <c:pt idx="2">
                  <c:v>45 - 49</c:v>
                </c:pt>
                <c:pt idx="3">
                  <c:v>60+</c:v>
                </c:pt>
                <c:pt idx="4">
                  <c:v>55 - 60</c:v>
                </c:pt>
                <c:pt idx="5">
                  <c:v>50 - 54</c:v>
                </c:pt>
              </c:strCache>
            </c:strRef>
          </c:cat>
          <c:val>
            <c:numRef>
              <c:f>SUMMARY!$F$50:$F$56</c:f>
              <c:numCache>
                <c:formatCode>0.00</c:formatCode>
                <c:ptCount val="6"/>
                <c:pt idx="0">
                  <c:v>26</c:v>
                </c:pt>
                <c:pt idx="1">
                  <c:v>25.333333333333332</c:v>
                </c:pt>
                <c:pt idx="2">
                  <c:v>23</c:v>
                </c:pt>
                <c:pt idx="3">
                  <c:v>20.5</c:v>
                </c:pt>
                <c:pt idx="4">
                  <c:v>18.833333333333332</c:v>
                </c:pt>
                <c:pt idx="5">
                  <c:v>18.5</c:v>
                </c:pt>
              </c:numCache>
            </c:numRef>
          </c:val>
          <c:extLst>
            <c:ext xmlns:c16="http://schemas.microsoft.com/office/drawing/2014/chart" uri="{C3380CC4-5D6E-409C-BE32-E72D297353CC}">
              <c16:uniqueId val="{00000000-451D-4E20-A580-F51E2BD0943B}"/>
            </c:ext>
          </c:extLst>
        </c:ser>
        <c:dLbls>
          <c:dLblPos val="outEnd"/>
          <c:showLegendKey val="0"/>
          <c:showVal val="1"/>
          <c:showCatName val="0"/>
          <c:showSerName val="0"/>
          <c:showPercent val="0"/>
          <c:showBubbleSize val="0"/>
        </c:dLbls>
        <c:gapWidth val="62"/>
        <c:axId val="1893386032"/>
        <c:axId val="1893387696"/>
      </c:barChart>
      <c:catAx>
        <c:axId val="1893386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93387696"/>
        <c:crosses val="autoZero"/>
        <c:auto val="1"/>
        <c:lblAlgn val="ctr"/>
        <c:lblOffset val="100"/>
        <c:noMultiLvlLbl val="0"/>
      </c:catAx>
      <c:valAx>
        <c:axId val="1893387696"/>
        <c:scaling>
          <c:orientation val="minMax"/>
        </c:scaling>
        <c:delete val="1"/>
        <c:axPos val="b"/>
        <c:numFmt formatCode="0.00" sourceLinked="1"/>
        <c:majorTickMark val="none"/>
        <c:minorTickMark val="none"/>
        <c:tickLblPos val="nextTo"/>
        <c:crossAx val="1893386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[Anova Survey Analysis.xlsx]SUMMARY!PivotTable3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D56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44789656173672"/>
          <c:y val="1.696931849036112E-2"/>
          <c:w val="0.71714724921857653"/>
          <c:h val="0.9775784463509225"/>
        </c:manualLayout>
      </c:layout>
      <c:barChart>
        <c:barDir val="bar"/>
        <c:grouping val="clustered"/>
        <c:varyColors val="0"/>
        <c:ser>
          <c:idx val="0"/>
          <c:order val="0"/>
          <c:tx>
            <c:strRef>
              <c:f>SUMMARY!$I$49</c:f>
              <c:strCache>
                <c:ptCount val="1"/>
                <c:pt idx="0">
                  <c:v>Total</c:v>
                </c:pt>
              </c:strCache>
            </c:strRef>
          </c:tx>
          <c:spPr>
            <a:solidFill>
              <a:srgbClr val="DD565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SUMMARY!$H$50:$H$55</c:f>
              <c:strCache>
                <c:ptCount val="5"/>
                <c:pt idx="0">
                  <c:v>1 roles</c:v>
                </c:pt>
                <c:pt idx="1">
                  <c:v>2 roles</c:v>
                </c:pt>
                <c:pt idx="2">
                  <c:v>3 roles</c:v>
                </c:pt>
                <c:pt idx="3">
                  <c:v> 4 roles</c:v>
                </c:pt>
                <c:pt idx="4">
                  <c:v> 5 roles</c:v>
                </c:pt>
              </c:strCache>
            </c:strRef>
          </c:cat>
          <c:val>
            <c:numRef>
              <c:f>SUMMARY!$I$50:$I$55</c:f>
              <c:numCache>
                <c:formatCode>0.00</c:formatCode>
                <c:ptCount val="5"/>
                <c:pt idx="0">
                  <c:v>0</c:v>
                </c:pt>
                <c:pt idx="1">
                  <c:v>1.2</c:v>
                </c:pt>
                <c:pt idx="2">
                  <c:v>2.2000000000000002</c:v>
                </c:pt>
                <c:pt idx="3">
                  <c:v>1.7142857142857142</c:v>
                </c:pt>
                <c:pt idx="4">
                  <c:v>3.5</c:v>
                </c:pt>
              </c:numCache>
            </c:numRef>
          </c:val>
          <c:extLst>
            <c:ext xmlns:c16="http://schemas.microsoft.com/office/drawing/2014/chart" uri="{C3380CC4-5D6E-409C-BE32-E72D297353CC}">
              <c16:uniqueId val="{00000000-B82B-4707-B7B1-7C704976FE1F}"/>
            </c:ext>
          </c:extLst>
        </c:ser>
        <c:dLbls>
          <c:dLblPos val="outEnd"/>
          <c:showLegendKey val="0"/>
          <c:showVal val="1"/>
          <c:showCatName val="0"/>
          <c:showSerName val="0"/>
          <c:showPercent val="0"/>
          <c:showBubbleSize val="0"/>
        </c:dLbls>
        <c:gapWidth val="52"/>
        <c:axId val="1893369392"/>
        <c:axId val="1893371472"/>
      </c:barChart>
      <c:catAx>
        <c:axId val="189336939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93371472"/>
        <c:crosses val="autoZero"/>
        <c:auto val="1"/>
        <c:lblAlgn val="ctr"/>
        <c:lblOffset val="100"/>
        <c:noMultiLvlLbl val="0"/>
      </c:catAx>
      <c:valAx>
        <c:axId val="1893371472"/>
        <c:scaling>
          <c:orientation val="minMax"/>
        </c:scaling>
        <c:delete val="1"/>
        <c:axPos val="b"/>
        <c:numFmt formatCode="0.00" sourceLinked="1"/>
        <c:majorTickMark val="none"/>
        <c:minorTickMark val="none"/>
        <c:tickLblPos val="nextTo"/>
        <c:crossAx val="1893369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Anova Analysis '!A1"/><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https://www.linkedin.com/in/olivia-anetoh-955b94328" TargetMode="External"/><Relationship Id="rId11" Type="http://schemas.openxmlformats.org/officeDocument/2006/relationships/image" Target="../media/image3.png"/><Relationship Id="rId5" Type="http://schemas.openxmlformats.org/officeDocument/2006/relationships/chart" Target="../charts/chart5.xml"/><Relationship Id="rId10" Type="http://schemas.openxmlformats.org/officeDocument/2006/relationships/hyperlink" Target="#'Form Responses 1'!A1"/><Relationship Id="rId4" Type="http://schemas.openxmlformats.org/officeDocument/2006/relationships/chart" Target="../charts/chart4.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222250</xdr:colOff>
      <xdr:row>0</xdr:row>
      <xdr:rowOff>76200</xdr:rowOff>
    </xdr:from>
    <xdr:to>
      <xdr:col>18</xdr:col>
      <xdr:colOff>361950</xdr:colOff>
      <xdr:row>31</xdr:row>
      <xdr:rowOff>76200</xdr:rowOff>
    </xdr:to>
    <xdr:sp macro="" textlink="">
      <xdr:nvSpPr>
        <xdr:cNvPr id="2" name="Rectangle: Rounded Corners 1">
          <a:extLst>
            <a:ext uri="{FF2B5EF4-FFF2-40B4-BE49-F238E27FC236}">
              <a16:creationId xmlns:a16="http://schemas.microsoft.com/office/drawing/2014/main" id="{AB9BE678-DD7C-4555-8AF7-E5B3DB26139A}"/>
            </a:ext>
          </a:extLst>
        </xdr:cNvPr>
        <xdr:cNvSpPr/>
      </xdr:nvSpPr>
      <xdr:spPr>
        <a:xfrm>
          <a:off x="831850" y="76200"/>
          <a:ext cx="10502900" cy="4921250"/>
        </a:xfrm>
        <a:prstGeom prst="roundRect">
          <a:avLst>
            <a:gd name="adj" fmla="val 3185"/>
          </a:avLst>
        </a:prstGeom>
        <a:solidFill>
          <a:srgbClr val="F0EFF4"/>
        </a:solidFill>
        <a:ln>
          <a:solidFill>
            <a:srgbClr val="EBACB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374650</xdr:colOff>
      <xdr:row>4</xdr:row>
      <xdr:rowOff>50800</xdr:rowOff>
    </xdr:from>
    <xdr:to>
      <xdr:col>5</xdr:col>
      <xdr:colOff>222250</xdr:colOff>
      <xdr:row>8</xdr:row>
      <xdr:rowOff>127000</xdr:rowOff>
    </xdr:to>
    <xdr:sp macro="" textlink="">
      <xdr:nvSpPr>
        <xdr:cNvPr id="3" name="Rectangle: Rounded Corners 2">
          <a:extLst>
            <a:ext uri="{FF2B5EF4-FFF2-40B4-BE49-F238E27FC236}">
              <a16:creationId xmlns:a16="http://schemas.microsoft.com/office/drawing/2014/main" id="{970D8B05-0571-4406-BC80-11307870FD4F}"/>
            </a:ext>
          </a:extLst>
        </xdr:cNvPr>
        <xdr:cNvSpPr/>
      </xdr:nvSpPr>
      <xdr:spPr>
        <a:xfrm>
          <a:off x="1593850" y="685800"/>
          <a:ext cx="1676400" cy="711200"/>
        </a:xfrm>
        <a:prstGeom prst="roundRect">
          <a:avLst>
            <a:gd name="adj" fmla="val 5389"/>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374650</xdr:colOff>
      <xdr:row>14</xdr:row>
      <xdr:rowOff>31750</xdr:rowOff>
    </xdr:from>
    <xdr:to>
      <xdr:col>7</xdr:col>
      <xdr:colOff>596900</xdr:colOff>
      <xdr:row>30</xdr:row>
      <xdr:rowOff>146050</xdr:rowOff>
    </xdr:to>
    <xdr:sp macro="" textlink="">
      <xdr:nvSpPr>
        <xdr:cNvPr id="4" name="Rectangle: Rounded Corners 3">
          <a:extLst>
            <a:ext uri="{FF2B5EF4-FFF2-40B4-BE49-F238E27FC236}">
              <a16:creationId xmlns:a16="http://schemas.microsoft.com/office/drawing/2014/main" id="{2D603033-D094-4C52-BF09-F1DC43E20088}"/>
            </a:ext>
          </a:extLst>
        </xdr:cNvPr>
        <xdr:cNvSpPr/>
      </xdr:nvSpPr>
      <xdr:spPr>
        <a:xfrm>
          <a:off x="1593850" y="2254250"/>
          <a:ext cx="3270250" cy="2654300"/>
        </a:xfrm>
        <a:prstGeom prst="roundRect">
          <a:avLst>
            <a:gd name="adj" fmla="val 2490"/>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63500</xdr:colOff>
      <xdr:row>4</xdr:row>
      <xdr:rowOff>69850</xdr:rowOff>
    </xdr:from>
    <xdr:to>
      <xdr:col>13</xdr:col>
      <xdr:colOff>127000</xdr:colOff>
      <xdr:row>15</xdr:row>
      <xdr:rowOff>88900</xdr:rowOff>
    </xdr:to>
    <xdr:sp macro="" textlink="">
      <xdr:nvSpPr>
        <xdr:cNvPr id="5" name="Rectangle: Rounded Corners 4">
          <a:extLst>
            <a:ext uri="{FF2B5EF4-FFF2-40B4-BE49-F238E27FC236}">
              <a16:creationId xmlns:a16="http://schemas.microsoft.com/office/drawing/2014/main" id="{25B588C7-2C8C-4108-B3FC-A2AA951449AD}"/>
            </a:ext>
          </a:extLst>
        </xdr:cNvPr>
        <xdr:cNvSpPr/>
      </xdr:nvSpPr>
      <xdr:spPr>
        <a:xfrm>
          <a:off x="4940300" y="704850"/>
          <a:ext cx="3111500" cy="1765300"/>
        </a:xfrm>
        <a:prstGeom prst="roundRect">
          <a:avLst>
            <a:gd name="adj" fmla="val 3659"/>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234950</xdr:colOff>
      <xdr:row>4</xdr:row>
      <xdr:rowOff>76200</xdr:rowOff>
    </xdr:from>
    <xdr:to>
      <xdr:col>18</xdr:col>
      <xdr:colOff>184150</xdr:colOff>
      <xdr:row>15</xdr:row>
      <xdr:rowOff>50800</xdr:rowOff>
    </xdr:to>
    <xdr:sp macro="" textlink="">
      <xdr:nvSpPr>
        <xdr:cNvPr id="6" name="Rectangle: Rounded Corners 5">
          <a:extLst>
            <a:ext uri="{FF2B5EF4-FFF2-40B4-BE49-F238E27FC236}">
              <a16:creationId xmlns:a16="http://schemas.microsoft.com/office/drawing/2014/main" id="{88887B4B-E4E0-4189-BBA4-FE8208BE5441}"/>
            </a:ext>
          </a:extLst>
        </xdr:cNvPr>
        <xdr:cNvSpPr/>
      </xdr:nvSpPr>
      <xdr:spPr>
        <a:xfrm>
          <a:off x="8159750" y="711200"/>
          <a:ext cx="2997200" cy="1720850"/>
        </a:xfrm>
        <a:prstGeom prst="roundRect">
          <a:avLst>
            <a:gd name="adj" fmla="val 3584"/>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374650</xdr:colOff>
      <xdr:row>9</xdr:row>
      <xdr:rowOff>6350</xdr:rowOff>
    </xdr:from>
    <xdr:to>
      <xdr:col>5</xdr:col>
      <xdr:colOff>215900</xdr:colOff>
      <xdr:row>13</xdr:row>
      <xdr:rowOff>127000</xdr:rowOff>
    </xdr:to>
    <xdr:sp macro="" textlink="">
      <xdr:nvSpPr>
        <xdr:cNvPr id="7" name="Rectangle: Rounded Corners 6">
          <a:extLst>
            <a:ext uri="{FF2B5EF4-FFF2-40B4-BE49-F238E27FC236}">
              <a16:creationId xmlns:a16="http://schemas.microsoft.com/office/drawing/2014/main" id="{224A89B1-4DCA-49BB-9C2A-C14D623EDC03}"/>
            </a:ext>
          </a:extLst>
        </xdr:cNvPr>
        <xdr:cNvSpPr/>
      </xdr:nvSpPr>
      <xdr:spPr>
        <a:xfrm>
          <a:off x="1593850" y="1435100"/>
          <a:ext cx="1670050" cy="755650"/>
        </a:xfrm>
        <a:prstGeom prst="roundRect">
          <a:avLst>
            <a:gd name="adj" fmla="val 5389"/>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220980</xdr:colOff>
      <xdr:row>0</xdr:row>
      <xdr:rowOff>60960</xdr:rowOff>
    </xdr:from>
    <xdr:to>
      <xdr:col>2</xdr:col>
      <xdr:colOff>213360</xdr:colOff>
      <xdr:row>31</xdr:row>
      <xdr:rowOff>80010</xdr:rowOff>
    </xdr:to>
    <xdr:sp macro="" textlink="">
      <xdr:nvSpPr>
        <xdr:cNvPr id="8" name="Rectangle: Rounded Corners 7">
          <a:extLst>
            <a:ext uri="{FF2B5EF4-FFF2-40B4-BE49-F238E27FC236}">
              <a16:creationId xmlns:a16="http://schemas.microsoft.com/office/drawing/2014/main" id="{58F7608B-7F46-41F0-A987-64D6DDF8A02D}"/>
            </a:ext>
          </a:extLst>
        </xdr:cNvPr>
        <xdr:cNvSpPr/>
      </xdr:nvSpPr>
      <xdr:spPr>
        <a:xfrm>
          <a:off x="822960" y="60960"/>
          <a:ext cx="594360" cy="5215890"/>
        </a:xfrm>
        <a:prstGeom prst="roundRect">
          <a:avLst>
            <a:gd name="adj" fmla="val 8334"/>
          </a:avLst>
        </a:prstGeom>
        <a:solidFill>
          <a:srgbClr val="96212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69850</xdr:colOff>
      <xdr:row>15</xdr:row>
      <xdr:rowOff>152400</xdr:rowOff>
    </xdr:from>
    <xdr:to>
      <xdr:col>13</xdr:col>
      <xdr:colOff>171450</xdr:colOff>
      <xdr:row>30</xdr:row>
      <xdr:rowOff>146050</xdr:rowOff>
    </xdr:to>
    <xdr:sp macro="" textlink="">
      <xdr:nvSpPr>
        <xdr:cNvPr id="9" name="Rectangle: Rounded Corners 8">
          <a:extLst>
            <a:ext uri="{FF2B5EF4-FFF2-40B4-BE49-F238E27FC236}">
              <a16:creationId xmlns:a16="http://schemas.microsoft.com/office/drawing/2014/main" id="{10F149BB-451E-4597-BBE7-5077A3A879B5}"/>
            </a:ext>
          </a:extLst>
        </xdr:cNvPr>
        <xdr:cNvSpPr/>
      </xdr:nvSpPr>
      <xdr:spPr>
        <a:xfrm>
          <a:off x="4946650" y="2533650"/>
          <a:ext cx="3149600" cy="2374900"/>
        </a:xfrm>
        <a:prstGeom prst="roundRect">
          <a:avLst>
            <a:gd name="adj" fmla="val 2490"/>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584200</xdr:colOff>
      <xdr:row>3</xdr:row>
      <xdr:rowOff>133350</xdr:rowOff>
    </xdr:from>
    <xdr:to>
      <xdr:col>18</xdr:col>
      <xdr:colOff>133350</xdr:colOff>
      <xdr:row>30</xdr:row>
      <xdr:rowOff>127000</xdr:rowOff>
    </xdr:to>
    <xdr:sp macro="" textlink="">
      <xdr:nvSpPr>
        <xdr:cNvPr id="10" name="Rectangle: Rounded Corners 9">
          <a:extLst>
            <a:ext uri="{FF2B5EF4-FFF2-40B4-BE49-F238E27FC236}">
              <a16:creationId xmlns:a16="http://schemas.microsoft.com/office/drawing/2014/main" id="{A4D492B1-ADF7-4E90-840E-F214085377A1}"/>
            </a:ext>
          </a:extLst>
        </xdr:cNvPr>
        <xdr:cNvSpPr/>
      </xdr:nvSpPr>
      <xdr:spPr>
        <a:xfrm>
          <a:off x="8509000" y="609600"/>
          <a:ext cx="2597150" cy="4279900"/>
        </a:xfrm>
        <a:prstGeom prst="roundRect">
          <a:avLst>
            <a:gd name="adj" fmla="val 2490"/>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107950</xdr:colOff>
      <xdr:row>7</xdr:row>
      <xdr:rowOff>120650</xdr:rowOff>
    </xdr:from>
    <xdr:to>
      <xdr:col>13</xdr:col>
      <xdr:colOff>107950</xdr:colOff>
      <xdr:row>15</xdr:row>
      <xdr:rowOff>57150</xdr:rowOff>
    </xdr:to>
    <xdr:graphicFrame macro="">
      <xdr:nvGraphicFramePr>
        <xdr:cNvPr id="12" name="Chart 11">
          <a:extLst>
            <a:ext uri="{FF2B5EF4-FFF2-40B4-BE49-F238E27FC236}">
              <a16:creationId xmlns:a16="http://schemas.microsoft.com/office/drawing/2014/main" id="{1E4F3856-6138-4B81-9F1E-BB9A608008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279400</xdr:colOff>
      <xdr:row>7</xdr:row>
      <xdr:rowOff>19050</xdr:rowOff>
    </xdr:from>
    <xdr:to>
      <xdr:col>18</xdr:col>
      <xdr:colOff>107950</xdr:colOff>
      <xdr:row>15</xdr:row>
      <xdr:rowOff>12700</xdr:rowOff>
    </xdr:to>
    <xdr:graphicFrame macro="">
      <xdr:nvGraphicFramePr>
        <xdr:cNvPr id="13" name="Chart 12">
          <a:extLst>
            <a:ext uri="{FF2B5EF4-FFF2-40B4-BE49-F238E27FC236}">
              <a16:creationId xmlns:a16="http://schemas.microsoft.com/office/drawing/2014/main" id="{C53EA3D2-235A-4DA5-A55D-E0F36F0D0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127000</xdr:colOff>
      <xdr:row>19</xdr:row>
      <xdr:rowOff>139700</xdr:rowOff>
    </xdr:from>
    <xdr:to>
      <xdr:col>13</xdr:col>
      <xdr:colOff>127000</xdr:colOff>
      <xdr:row>30</xdr:row>
      <xdr:rowOff>114300</xdr:rowOff>
    </xdr:to>
    <xdr:graphicFrame macro="">
      <xdr:nvGraphicFramePr>
        <xdr:cNvPr id="14" name="Chart 13">
          <a:extLst>
            <a:ext uri="{FF2B5EF4-FFF2-40B4-BE49-F238E27FC236}">
              <a16:creationId xmlns:a16="http://schemas.microsoft.com/office/drawing/2014/main" id="{D6513576-7557-4E48-A7B5-31DBC3F19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412750</xdr:colOff>
      <xdr:row>17</xdr:row>
      <xdr:rowOff>88900</xdr:rowOff>
    </xdr:from>
    <xdr:to>
      <xdr:col>7</xdr:col>
      <xdr:colOff>552450</xdr:colOff>
      <xdr:row>30</xdr:row>
      <xdr:rowOff>146050</xdr:rowOff>
    </xdr:to>
    <xdr:graphicFrame macro="">
      <xdr:nvGraphicFramePr>
        <xdr:cNvPr id="15" name="Chart 14">
          <a:extLst>
            <a:ext uri="{FF2B5EF4-FFF2-40B4-BE49-F238E27FC236}">
              <a16:creationId xmlns:a16="http://schemas.microsoft.com/office/drawing/2014/main" id="{9FB114AF-7C77-4529-A5C5-A07345AB40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254000</xdr:colOff>
      <xdr:row>15</xdr:row>
      <xdr:rowOff>127000</xdr:rowOff>
    </xdr:from>
    <xdr:to>
      <xdr:col>18</xdr:col>
      <xdr:colOff>184150</xdr:colOff>
      <xdr:row>30</xdr:row>
      <xdr:rowOff>152400</xdr:rowOff>
    </xdr:to>
    <xdr:sp macro="" textlink="">
      <xdr:nvSpPr>
        <xdr:cNvPr id="18" name="Rectangle: Rounded Corners 17">
          <a:extLst>
            <a:ext uri="{FF2B5EF4-FFF2-40B4-BE49-F238E27FC236}">
              <a16:creationId xmlns:a16="http://schemas.microsoft.com/office/drawing/2014/main" id="{6AD840A9-9E72-4493-862F-BF612F734D72}"/>
            </a:ext>
          </a:extLst>
        </xdr:cNvPr>
        <xdr:cNvSpPr/>
      </xdr:nvSpPr>
      <xdr:spPr>
        <a:xfrm>
          <a:off x="8178800" y="2508250"/>
          <a:ext cx="2978150" cy="2406650"/>
        </a:xfrm>
        <a:prstGeom prst="roundRect">
          <a:avLst>
            <a:gd name="adj" fmla="val 3584"/>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292100</xdr:colOff>
      <xdr:row>18</xdr:row>
      <xdr:rowOff>146050</xdr:rowOff>
    </xdr:from>
    <xdr:to>
      <xdr:col>18</xdr:col>
      <xdr:colOff>171450</xdr:colOff>
      <xdr:row>30</xdr:row>
      <xdr:rowOff>82550</xdr:rowOff>
    </xdr:to>
    <xdr:graphicFrame macro="">
      <xdr:nvGraphicFramePr>
        <xdr:cNvPr id="16" name="Chart 15">
          <a:extLst>
            <a:ext uri="{FF2B5EF4-FFF2-40B4-BE49-F238E27FC236}">
              <a16:creationId xmlns:a16="http://schemas.microsoft.com/office/drawing/2014/main" id="{F7FEBC04-CA3E-4188-ACC1-BA4A58280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2</xdr:col>
      <xdr:colOff>292100</xdr:colOff>
      <xdr:row>1</xdr:row>
      <xdr:rowOff>146050</xdr:rowOff>
    </xdr:from>
    <xdr:ext cx="6457950" cy="298800"/>
    <xdr:sp macro="" textlink="">
      <xdr:nvSpPr>
        <xdr:cNvPr id="20" name="TextBox 19">
          <a:extLst>
            <a:ext uri="{FF2B5EF4-FFF2-40B4-BE49-F238E27FC236}">
              <a16:creationId xmlns:a16="http://schemas.microsoft.com/office/drawing/2014/main" id="{9AC582D9-A636-4D0D-B779-97A543273D80}"/>
            </a:ext>
          </a:extLst>
        </xdr:cNvPr>
        <xdr:cNvSpPr txBox="1"/>
      </xdr:nvSpPr>
      <xdr:spPr>
        <a:xfrm>
          <a:off x="1511300" y="304800"/>
          <a:ext cx="645795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i="1">
              <a:solidFill>
                <a:srgbClr val="962125"/>
              </a:solidFill>
            </a:rPr>
            <a:t>Workplace</a:t>
          </a:r>
          <a:r>
            <a:rPr lang="en-US" sz="1400" b="1" i="1" baseline="0">
              <a:solidFill>
                <a:srgbClr val="962125"/>
              </a:solidFill>
            </a:rPr>
            <a:t> Bias &amp; Career Progression In UK Education Leadership</a:t>
          </a:r>
          <a:endParaRPr lang="en-US" sz="1400" b="1" i="1">
            <a:solidFill>
              <a:srgbClr val="962125"/>
            </a:solidFill>
          </a:endParaRPr>
        </a:p>
      </xdr:txBody>
    </xdr:sp>
    <xdr:clientData/>
  </xdr:oneCellAnchor>
  <xdr:oneCellAnchor>
    <xdr:from>
      <xdr:col>13</xdr:col>
      <xdr:colOff>228600</xdr:colOff>
      <xdr:row>15</xdr:row>
      <xdr:rowOff>107950</xdr:rowOff>
    </xdr:from>
    <xdr:ext cx="2870200" cy="239809"/>
    <xdr:sp macro="" textlink="">
      <xdr:nvSpPr>
        <xdr:cNvPr id="21" name="TextBox 20">
          <a:extLst>
            <a:ext uri="{FF2B5EF4-FFF2-40B4-BE49-F238E27FC236}">
              <a16:creationId xmlns:a16="http://schemas.microsoft.com/office/drawing/2014/main" id="{A0714393-3031-4752-AE02-36732DAFF54F}"/>
            </a:ext>
          </a:extLst>
        </xdr:cNvPr>
        <xdr:cNvSpPr txBox="1"/>
      </xdr:nvSpPr>
      <xdr:spPr>
        <a:xfrm>
          <a:off x="8153400" y="2489200"/>
          <a:ext cx="2870200"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00" b="1"/>
            <a:t>Career</a:t>
          </a:r>
          <a:r>
            <a:rPr lang="en-US" sz="1000" b="1" baseline="0"/>
            <a:t> Progression by Experience Level</a:t>
          </a:r>
          <a:endParaRPr lang="en-US" sz="1000" b="1"/>
        </a:p>
      </xdr:txBody>
    </xdr:sp>
    <xdr:clientData/>
  </xdr:oneCellAnchor>
  <xdr:oneCellAnchor>
    <xdr:from>
      <xdr:col>8</xdr:col>
      <xdr:colOff>31750</xdr:colOff>
      <xdr:row>4</xdr:row>
      <xdr:rowOff>44450</xdr:rowOff>
    </xdr:from>
    <xdr:ext cx="2870200" cy="239809"/>
    <xdr:sp macro="" textlink="">
      <xdr:nvSpPr>
        <xdr:cNvPr id="22" name="TextBox 21">
          <a:extLst>
            <a:ext uri="{FF2B5EF4-FFF2-40B4-BE49-F238E27FC236}">
              <a16:creationId xmlns:a16="http://schemas.microsoft.com/office/drawing/2014/main" id="{7E1424A0-0C59-432F-B12C-4685E9224211}"/>
            </a:ext>
          </a:extLst>
        </xdr:cNvPr>
        <xdr:cNvSpPr txBox="1"/>
      </xdr:nvSpPr>
      <xdr:spPr>
        <a:xfrm>
          <a:off x="4908550" y="679450"/>
          <a:ext cx="2870200"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00" b="1"/>
            <a:t>Average</a:t>
          </a:r>
          <a:r>
            <a:rPr lang="en-US" sz="1000" b="1" baseline="0"/>
            <a:t> Perceived Bias by Gender</a:t>
          </a:r>
          <a:endParaRPr lang="en-US" sz="1000" b="1"/>
        </a:p>
      </xdr:txBody>
    </xdr:sp>
    <xdr:clientData/>
  </xdr:oneCellAnchor>
  <xdr:oneCellAnchor>
    <xdr:from>
      <xdr:col>13</xdr:col>
      <xdr:colOff>165100</xdr:colOff>
      <xdr:row>4</xdr:row>
      <xdr:rowOff>25400</xdr:rowOff>
    </xdr:from>
    <xdr:ext cx="2870200" cy="239809"/>
    <xdr:sp macro="" textlink="">
      <xdr:nvSpPr>
        <xdr:cNvPr id="23" name="TextBox 22">
          <a:extLst>
            <a:ext uri="{FF2B5EF4-FFF2-40B4-BE49-F238E27FC236}">
              <a16:creationId xmlns:a16="http://schemas.microsoft.com/office/drawing/2014/main" id="{D7E7C9A7-DE1D-4789-B3B4-ED66E7CEFB5D}"/>
            </a:ext>
          </a:extLst>
        </xdr:cNvPr>
        <xdr:cNvSpPr txBox="1"/>
      </xdr:nvSpPr>
      <xdr:spPr>
        <a:xfrm>
          <a:off x="8089900" y="660400"/>
          <a:ext cx="2870200" cy="2398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00" b="1"/>
            <a:t>Career</a:t>
          </a:r>
          <a:r>
            <a:rPr lang="en-US" sz="1000" b="1" baseline="0"/>
            <a:t> Progression by Gender</a:t>
          </a:r>
          <a:endParaRPr lang="en-US" sz="1000" b="1"/>
        </a:p>
      </xdr:txBody>
    </xdr:sp>
    <xdr:clientData/>
  </xdr:oneCellAnchor>
  <xdr:oneCellAnchor>
    <xdr:from>
      <xdr:col>8</xdr:col>
      <xdr:colOff>12700</xdr:colOff>
      <xdr:row>15</xdr:row>
      <xdr:rowOff>127000</xdr:rowOff>
    </xdr:from>
    <xdr:ext cx="3854450" cy="224998"/>
    <xdr:sp macro="" textlink="">
      <xdr:nvSpPr>
        <xdr:cNvPr id="24" name="TextBox 23">
          <a:extLst>
            <a:ext uri="{FF2B5EF4-FFF2-40B4-BE49-F238E27FC236}">
              <a16:creationId xmlns:a16="http://schemas.microsoft.com/office/drawing/2014/main" id="{E606908A-5A36-44A6-BD17-EE26E80C78DC}"/>
            </a:ext>
          </a:extLst>
        </xdr:cNvPr>
        <xdr:cNvSpPr txBox="1"/>
      </xdr:nvSpPr>
      <xdr:spPr>
        <a:xfrm>
          <a:off x="4889500" y="2508250"/>
          <a:ext cx="3854450" cy="224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900" b="1"/>
            <a:t>Professional</a:t>
          </a:r>
          <a:r>
            <a:rPr lang="en-US" sz="900" b="1" baseline="0"/>
            <a:t> Environment perception by Demographics</a:t>
          </a:r>
          <a:endParaRPr lang="en-US" sz="900" b="1"/>
        </a:p>
      </xdr:txBody>
    </xdr:sp>
    <xdr:clientData/>
  </xdr:oneCellAnchor>
  <xdr:oneCellAnchor>
    <xdr:from>
      <xdr:col>2</xdr:col>
      <xdr:colOff>317500</xdr:colOff>
      <xdr:row>14</xdr:row>
      <xdr:rowOff>6350</xdr:rowOff>
    </xdr:from>
    <xdr:ext cx="2870200" cy="416781"/>
    <xdr:sp macro="" textlink="">
      <xdr:nvSpPr>
        <xdr:cNvPr id="25" name="TextBox 24">
          <a:extLst>
            <a:ext uri="{FF2B5EF4-FFF2-40B4-BE49-F238E27FC236}">
              <a16:creationId xmlns:a16="http://schemas.microsoft.com/office/drawing/2014/main" id="{1050F3D8-EFE7-40DF-992B-08BECBBBC436}"/>
            </a:ext>
          </a:extLst>
        </xdr:cNvPr>
        <xdr:cNvSpPr txBox="1"/>
      </xdr:nvSpPr>
      <xdr:spPr>
        <a:xfrm>
          <a:off x="1536700" y="2228850"/>
          <a:ext cx="2870200" cy="416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000" b="1">
              <a:solidFill>
                <a:schemeClr val="tx1"/>
              </a:solidFill>
              <a:effectLst/>
              <a:latin typeface="+mn-lt"/>
              <a:ea typeface="+mn-ea"/>
              <a:cs typeface="+mn-cs"/>
            </a:rPr>
            <a:t>Average</a:t>
          </a:r>
          <a:r>
            <a:rPr lang="en-US" sz="1000" b="1" baseline="0">
              <a:solidFill>
                <a:schemeClr val="tx1"/>
              </a:solidFill>
              <a:effectLst/>
              <a:latin typeface="+mn-lt"/>
              <a:ea typeface="+mn-ea"/>
              <a:cs typeface="+mn-cs"/>
            </a:rPr>
            <a:t> Perceived Bias by Age</a:t>
          </a:r>
          <a:endParaRPr lang="en-US" sz="1000" b="1">
            <a:effectLst/>
          </a:endParaRPr>
        </a:p>
        <a:p>
          <a:endParaRPr lang="en-US" sz="1100"/>
        </a:p>
      </xdr:txBody>
    </xdr:sp>
    <xdr:clientData/>
  </xdr:oneCellAnchor>
  <xdr:twoCellAnchor>
    <xdr:from>
      <xdr:col>5</xdr:col>
      <xdr:colOff>292100</xdr:colOff>
      <xdr:row>4</xdr:row>
      <xdr:rowOff>63500</xdr:rowOff>
    </xdr:from>
    <xdr:to>
      <xdr:col>7</xdr:col>
      <xdr:colOff>577850</xdr:colOff>
      <xdr:row>13</xdr:row>
      <xdr:rowOff>120650</xdr:rowOff>
    </xdr:to>
    <xdr:sp macro="" textlink="">
      <xdr:nvSpPr>
        <xdr:cNvPr id="26" name="Rectangle: Rounded Corners 25">
          <a:extLst>
            <a:ext uri="{FF2B5EF4-FFF2-40B4-BE49-F238E27FC236}">
              <a16:creationId xmlns:a16="http://schemas.microsoft.com/office/drawing/2014/main" id="{CCC44AED-7890-4AC0-A48E-ABA605F3E2E4}"/>
            </a:ext>
          </a:extLst>
        </xdr:cNvPr>
        <xdr:cNvSpPr/>
      </xdr:nvSpPr>
      <xdr:spPr>
        <a:xfrm>
          <a:off x="3340100" y="698500"/>
          <a:ext cx="1504950" cy="1485900"/>
        </a:xfrm>
        <a:prstGeom prst="roundRect">
          <a:avLst>
            <a:gd name="adj" fmla="val 5389"/>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419100</xdr:colOff>
      <xdr:row>4</xdr:row>
      <xdr:rowOff>31750</xdr:rowOff>
    </xdr:from>
    <xdr:ext cx="1569789" cy="269369"/>
    <xdr:sp macro="" textlink="">
      <xdr:nvSpPr>
        <xdr:cNvPr id="11" name="TextBox 10">
          <a:extLst>
            <a:ext uri="{FF2B5EF4-FFF2-40B4-BE49-F238E27FC236}">
              <a16:creationId xmlns:a16="http://schemas.microsoft.com/office/drawing/2014/main" id="{9972800A-A754-4EE7-A3BB-90E4088B4ED0}"/>
            </a:ext>
          </a:extLst>
        </xdr:cNvPr>
        <xdr:cNvSpPr txBox="1"/>
      </xdr:nvSpPr>
      <xdr:spPr>
        <a:xfrm>
          <a:off x="1638300" y="666750"/>
          <a:ext cx="1569789"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tx1">
                  <a:lumMod val="65000"/>
                  <a:lumOff val="35000"/>
                </a:schemeClr>
              </a:solidFill>
              <a:latin typeface="+mj-lt"/>
              <a:cs typeface="Calibri Light" panose="020F0302020204030204" pitchFamily="34" charset="0"/>
            </a:rPr>
            <a:t>Total Respondents</a:t>
          </a:r>
        </a:p>
      </xdr:txBody>
    </xdr:sp>
    <xdr:clientData/>
  </xdr:oneCellAnchor>
  <xdr:oneCellAnchor>
    <xdr:from>
      <xdr:col>5</xdr:col>
      <xdr:colOff>222250</xdr:colOff>
      <xdr:row>4</xdr:row>
      <xdr:rowOff>38100</xdr:rowOff>
    </xdr:from>
    <xdr:ext cx="1746250" cy="269369"/>
    <xdr:sp macro="" textlink="">
      <xdr:nvSpPr>
        <xdr:cNvPr id="27" name="TextBox 26">
          <a:extLst>
            <a:ext uri="{FF2B5EF4-FFF2-40B4-BE49-F238E27FC236}">
              <a16:creationId xmlns:a16="http://schemas.microsoft.com/office/drawing/2014/main" id="{FFB777B5-0186-4527-8E88-CFAB81F987F6}"/>
            </a:ext>
          </a:extLst>
        </xdr:cNvPr>
        <xdr:cNvSpPr txBox="1"/>
      </xdr:nvSpPr>
      <xdr:spPr>
        <a:xfrm>
          <a:off x="3270250" y="673100"/>
          <a:ext cx="1746250"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u="none">
              <a:solidFill>
                <a:schemeClr val="tx1">
                  <a:lumMod val="65000"/>
                  <a:lumOff val="35000"/>
                </a:schemeClr>
              </a:solidFill>
              <a:latin typeface="+mj-lt"/>
              <a:cs typeface="Calibri Light" panose="020F0302020204030204" pitchFamily="34" charset="0"/>
            </a:rPr>
            <a:t>Significant</a:t>
          </a:r>
          <a:r>
            <a:rPr lang="en-US" sz="1200" b="1" u="none" baseline="0">
              <a:solidFill>
                <a:schemeClr val="tx1">
                  <a:lumMod val="65000"/>
                  <a:lumOff val="35000"/>
                </a:schemeClr>
              </a:solidFill>
              <a:latin typeface="+mj-lt"/>
              <a:cs typeface="Calibri Light" panose="020F0302020204030204" pitchFamily="34" charset="0"/>
            </a:rPr>
            <a:t> Findings</a:t>
          </a:r>
          <a:endParaRPr lang="en-US" sz="1200" b="1" u="none">
            <a:solidFill>
              <a:schemeClr val="tx1">
                <a:lumMod val="65000"/>
                <a:lumOff val="35000"/>
              </a:schemeClr>
            </a:solidFill>
            <a:latin typeface="+mj-lt"/>
            <a:cs typeface="Calibri Light" panose="020F0302020204030204" pitchFamily="34" charset="0"/>
          </a:endParaRPr>
        </a:p>
      </xdr:txBody>
    </xdr:sp>
    <xdr:clientData/>
  </xdr:oneCellAnchor>
  <xdr:oneCellAnchor>
    <xdr:from>
      <xdr:col>2</xdr:col>
      <xdr:colOff>495300</xdr:colOff>
      <xdr:row>8</xdr:row>
      <xdr:rowOff>127000</xdr:rowOff>
    </xdr:from>
    <xdr:ext cx="1552989" cy="269369"/>
    <xdr:sp macro="" textlink="">
      <xdr:nvSpPr>
        <xdr:cNvPr id="28" name="TextBox 27">
          <a:extLst>
            <a:ext uri="{FF2B5EF4-FFF2-40B4-BE49-F238E27FC236}">
              <a16:creationId xmlns:a16="http://schemas.microsoft.com/office/drawing/2014/main" id="{D65D024E-547A-44D8-89C3-B5C49C8984B2}"/>
            </a:ext>
          </a:extLst>
        </xdr:cNvPr>
        <xdr:cNvSpPr txBox="1"/>
      </xdr:nvSpPr>
      <xdr:spPr>
        <a:xfrm>
          <a:off x="1714500" y="1397000"/>
          <a:ext cx="1552989"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tx1">
                  <a:lumMod val="65000"/>
                  <a:lumOff val="35000"/>
                </a:schemeClr>
              </a:solidFill>
              <a:latin typeface="+mj-lt"/>
              <a:cs typeface="Calibri Light" panose="020F0302020204030204" pitchFamily="34" charset="0"/>
            </a:rPr>
            <a:t>Hypothesis</a:t>
          </a:r>
          <a:r>
            <a:rPr lang="en-US" sz="1200" b="1" baseline="0">
              <a:solidFill>
                <a:schemeClr val="tx1">
                  <a:lumMod val="65000"/>
                  <a:lumOff val="35000"/>
                </a:schemeClr>
              </a:solidFill>
              <a:latin typeface="+mj-lt"/>
              <a:cs typeface="Calibri Light" panose="020F0302020204030204" pitchFamily="34" charset="0"/>
            </a:rPr>
            <a:t> Tested</a:t>
          </a:r>
          <a:endParaRPr lang="en-US" sz="1200" b="1">
            <a:solidFill>
              <a:schemeClr val="tx1">
                <a:lumMod val="65000"/>
                <a:lumOff val="35000"/>
              </a:schemeClr>
            </a:solidFill>
            <a:latin typeface="+mj-lt"/>
            <a:cs typeface="Calibri Light" panose="020F0302020204030204" pitchFamily="34" charset="0"/>
          </a:endParaRPr>
        </a:p>
      </xdr:txBody>
    </xdr:sp>
    <xdr:clientData/>
  </xdr:oneCellAnchor>
  <xdr:oneCellAnchor>
    <xdr:from>
      <xdr:col>3</xdr:col>
      <xdr:colOff>311150</xdr:colOff>
      <xdr:row>6</xdr:row>
      <xdr:rowOff>107950</xdr:rowOff>
    </xdr:from>
    <xdr:ext cx="441403" cy="357790"/>
    <xdr:sp macro="" textlink="SUMMARY!Q50">
      <xdr:nvSpPr>
        <xdr:cNvPr id="29" name="TextBox 28">
          <a:extLst>
            <a:ext uri="{FF2B5EF4-FFF2-40B4-BE49-F238E27FC236}">
              <a16:creationId xmlns:a16="http://schemas.microsoft.com/office/drawing/2014/main" id="{542D3132-CD0E-47B0-9D0C-ACEFF4CA9AA3}"/>
            </a:ext>
          </a:extLst>
        </xdr:cNvPr>
        <xdr:cNvSpPr txBox="1"/>
      </xdr:nvSpPr>
      <xdr:spPr>
        <a:xfrm>
          <a:off x="2139950" y="1060450"/>
          <a:ext cx="44140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A01890F-2CB5-472D-AEE3-A23F9D0287F3}" type="TxLink">
            <a:rPr lang="en-US" sz="1800" b="1" i="0" u="none" strike="noStrike">
              <a:solidFill>
                <a:srgbClr val="962125"/>
              </a:solidFill>
              <a:latin typeface="Arial"/>
              <a:cs typeface="Arial"/>
            </a:rPr>
            <a:pPr/>
            <a:t>25</a:t>
          </a:fld>
          <a:endParaRPr lang="en-US" sz="4000" b="1">
            <a:solidFill>
              <a:srgbClr val="962125"/>
            </a:solidFill>
          </a:endParaRPr>
        </a:p>
      </xdr:txBody>
    </xdr:sp>
    <xdr:clientData/>
  </xdr:oneCellAnchor>
  <xdr:oneCellAnchor>
    <xdr:from>
      <xdr:col>3</xdr:col>
      <xdr:colOff>361950</xdr:colOff>
      <xdr:row>11</xdr:row>
      <xdr:rowOff>38100</xdr:rowOff>
    </xdr:from>
    <xdr:ext cx="313034" cy="357790"/>
    <xdr:sp macro="" textlink="">
      <xdr:nvSpPr>
        <xdr:cNvPr id="30" name="TextBox 29">
          <a:extLst>
            <a:ext uri="{FF2B5EF4-FFF2-40B4-BE49-F238E27FC236}">
              <a16:creationId xmlns:a16="http://schemas.microsoft.com/office/drawing/2014/main" id="{86932901-A523-40FE-9556-30EC4B331A89}"/>
            </a:ext>
          </a:extLst>
        </xdr:cNvPr>
        <xdr:cNvSpPr txBox="1"/>
      </xdr:nvSpPr>
      <xdr:spPr>
        <a:xfrm>
          <a:off x="2190750" y="1784350"/>
          <a:ext cx="313034"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rgbClr val="962125"/>
              </a:solidFill>
            </a:rPr>
            <a:t>5</a:t>
          </a:r>
        </a:p>
      </xdr:txBody>
    </xdr:sp>
    <xdr:clientData/>
  </xdr:oneCellAnchor>
  <xdr:oneCellAnchor>
    <xdr:from>
      <xdr:col>5</xdr:col>
      <xdr:colOff>590550</xdr:colOff>
      <xdr:row>8</xdr:row>
      <xdr:rowOff>63500</xdr:rowOff>
    </xdr:from>
    <xdr:ext cx="787523" cy="357790"/>
    <xdr:sp macro="" textlink="">
      <xdr:nvSpPr>
        <xdr:cNvPr id="31" name="TextBox 30">
          <a:extLst>
            <a:ext uri="{FF2B5EF4-FFF2-40B4-BE49-F238E27FC236}">
              <a16:creationId xmlns:a16="http://schemas.microsoft.com/office/drawing/2014/main" id="{3445536F-3CE4-4961-A1A6-5A680A958CEC}"/>
            </a:ext>
          </a:extLst>
        </xdr:cNvPr>
        <xdr:cNvSpPr txBox="1"/>
      </xdr:nvSpPr>
      <xdr:spPr>
        <a:xfrm>
          <a:off x="3638550" y="1333500"/>
          <a:ext cx="787523"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rgbClr val="962125"/>
              </a:solidFill>
            </a:rPr>
            <a:t>4</a:t>
          </a:r>
          <a:r>
            <a:rPr lang="en-US" sz="1800" b="1" baseline="0">
              <a:solidFill>
                <a:srgbClr val="962125"/>
              </a:solidFill>
            </a:rPr>
            <a:t> of 5</a:t>
          </a:r>
          <a:endParaRPr lang="en-US" sz="1800" b="1">
            <a:solidFill>
              <a:srgbClr val="962125"/>
            </a:solidFill>
          </a:endParaRPr>
        </a:p>
      </xdr:txBody>
    </xdr:sp>
    <xdr:clientData/>
  </xdr:oneCellAnchor>
  <xdr:twoCellAnchor editAs="oneCell">
    <xdr:from>
      <xdr:col>13</xdr:col>
      <xdr:colOff>254000</xdr:colOff>
      <xdr:row>0</xdr:row>
      <xdr:rowOff>107950</xdr:rowOff>
    </xdr:from>
    <xdr:to>
      <xdr:col>16</xdr:col>
      <xdr:colOff>177800</xdr:colOff>
      <xdr:row>4</xdr:row>
      <xdr:rowOff>25400</xdr:rowOff>
    </xdr:to>
    <mc:AlternateContent xmlns:mc="http://schemas.openxmlformats.org/markup-compatibility/2006" xmlns:a14="http://schemas.microsoft.com/office/drawing/2010/main">
      <mc:Choice Requires="a14">
        <xdr:graphicFrame macro="">
          <xdr:nvGraphicFramePr>
            <xdr:cNvPr id="32" name="Gender">
              <a:extLst>
                <a:ext uri="{FF2B5EF4-FFF2-40B4-BE49-F238E27FC236}">
                  <a16:creationId xmlns:a16="http://schemas.microsoft.com/office/drawing/2014/main" id="{80F5F320-DC2D-47BA-85EF-9738C26748A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178800" y="107950"/>
              <a:ext cx="1752600" cy="552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234950</xdr:colOff>
      <xdr:row>0</xdr:row>
      <xdr:rowOff>107950</xdr:rowOff>
    </xdr:from>
    <xdr:to>
      <xdr:col>18</xdr:col>
      <xdr:colOff>215900</xdr:colOff>
      <xdr:row>4</xdr:row>
      <xdr:rowOff>44450</xdr:rowOff>
    </xdr:to>
    <mc:AlternateContent xmlns:mc="http://schemas.openxmlformats.org/markup-compatibility/2006" xmlns:a14="http://schemas.microsoft.com/office/drawing/2010/main">
      <mc:Choice Requires="a14">
        <xdr:graphicFrame macro="">
          <xdr:nvGraphicFramePr>
            <xdr:cNvPr id="33" name="Age">
              <a:extLst>
                <a:ext uri="{FF2B5EF4-FFF2-40B4-BE49-F238E27FC236}">
                  <a16:creationId xmlns:a16="http://schemas.microsoft.com/office/drawing/2014/main" id="{3B46DB8F-B583-47CB-BBBC-DBB68C65F837}"/>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9988550" y="107950"/>
              <a:ext cx="1200150" cy="571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317500</xdr:colOff>
      <xdr:row>15</xdr:row>
      <xdr:rowOff>19050</xdr:rowOff>
    </xdr:from>
    <xdr:ext cx="3403600" cy="298800"/>
    <xdr:sp macro="" textlink="">
      <xdr:nvSpPr>
        <xdr:cNvPr id="17" name="TextBox 16">
          <a:extLst>
            <a:ext uri="{FF2B5EF4-FFF2-40B4-BE49-F238E27FC236}">
              <a16:creationId xmlns:a16="http://schemas.microsoft.com/office/drawing/2014/main" id="{648093AF-288C-4699-BE5B-FF94688F54BF}"/>
            </a:ext>
          </a:extLst>
        </xdr:cNvPr>
        <xdr:cNvSpPr txBox="1"/>
      </xdr:nvSpPr>
      <xdr:spPr>
        <a:xfrm>
          <a:off x="1536700" y="2400300"/>
          <a:ext cx="34036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700"/>
            <a:t>Younger</a:t>
          </a:r>
          <a:r>
            <a:rPr lang="en-US" sz="700" baseline="0"/>
            <a:t> leader (35-39) experience the highest bias (26.00) , declining steadily with age</a:t>
          </a:r>
          <a:endParaRPr lang="en-US" sz="700"/>
        </a:p>
      </xdr:txBody>
    </xdr:sp>
    <xdr:clientData/>
  </xdr:oneCellAnchor>
  <xdr:oneCellAnchor>
    <xdr:from>
      <xdr:col>8</xdr:col>
      <xdr:colOff>19050</xdr:colOff>
      <xdr:row>5</xdr:row>
      <xdr:rowOff>57150</xdr:rowOff>
    </xdr:from>
    <xdr:ext cx="3308350" cy="298800"/>
    <xdr:sp macro="" textlink="">
      <xdr:nvSpPr>
        <xdr:cNvPr id="36" name="TextBox 35">
          <a:extLst>
            <a:ext uri="{FF2B5EF4-FFF2-40B4-BE49-F238E27FC236}">
              <a16:creationId xmlns:a16="http://schemas.microsoft.com/office/drawing/2014/main" id="{50EFCFFB-B95E-4FAD-AEAF-7C26DFB16734}"/>
            </a:ext>
          </a:extLst>
        </xdr:cNvPr>
        <xdr:cNvSpPr txBox="1"/>
      </xdr:nvSpPr>
      <xdr:spPr>
        <a:xfrm>
          <a:off x="4895850" y="850900"/>
          <a:ext cx="330835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700"/>
            <a:t>Male experiences slightly higher</a:t>
          </a:r>
          <a:r>
            <a:rPr lang="en-US" sz="700" baseline="0"/>
            <a:t> perceived bias than female in uk education leadership</a:t>
          </a:r>
          <a:endParaRPr lang="en-US" sz="700"/>
        </a:p>
      </xdr:txBody>
    </xdr:sp>
    <xdr:clientData/>
  </xdr:oneCellAnchor>
  <xdr:oneCellAnchor>
    <xdr:from>
      <xdr:col>13</xdr:col>
      <xdr:colOff>184150</xdr:colOff>
      <xdr:row>5</xdr:row>
      <xdr:rowOff>31750</xdr:rowOff>
    </xdr:from>
    <xdr:ext cx="3155950" cy="298800"/>
    <xdr:sp macro="" textlink="">
      <xdr:nvSpPr>
        <xdr:cNvPr id="37" name="TextBox 36">
          <a:extLst>
            <a:ext uri="{FF2B5EF4-FFF2-40B4-BE49-F238E27FC236}">
              <a16:creationId xmlns:a16="http://schemas.microsoft.com/office/drawing/2014/main" id="{285E17FE-C8C5-4DB3-826D-88DFBF783534}"/>
            </a:ext>
          </a:extLst>
        </xdr:cNvPr>
        <xdr:cNvSpPr txBox="1"/>
      </xdr:nvSpPr>
      <xdr:spPr>
        <a:xfrm>
          <a:off x="8108950" y="825500"/>
          <a:ext cx="315595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700"/>
            <a:t>Females</a:t>
          </a:r>
          <a:r>
            <a:rPr lang="en-US" sz="700" baseline="0"/>
            <a:t> are changing their behaviour 5x more than Males (10.2 vs 1.88) just to move forward in their career.</a:t>
          </a:r>
          <a:endParaRPr lang="en-US" sz="700"/>
        </a:p>
      </xdr:txBody>
    </xdr:sp>
    <xdr:clientData/>
  </xdr:oneCellAnchor>
  <xdr:oneCellAnchor>
    <xdr:from>
      <xdr:col>13</xdr:col>
      <xdr:colOff>222250</xdr:colOff>
      <xdr:row>16</xdr:row>
      <xdr:rowOff>107950</xdr:rowOff>
    </xdr:from>
    <xdr:ext cx="3187700" cy="298800"/>
    <xdr:sp macro="" textlink="">
      <xdr:nvSpPr>
        <xdr:cNvPr id="38" name="TextBox 37">
          <a:extLst>
            <a:ext uri="{FF2B5EF4-FFF2-40B4-BE49-F238E27FC236}">
              <a16:creationId xmlns:a16="http://schemas.microsoft.com/office/drawing/2014/main" id="{025CD465-16D7-4EB4-BE96-2A5794A6BABB}"/>
            </a:ext>
          </a:extLst>
        </xdr:cNvPr>
        <xdr:cNvSpPr txBox="1"/>
      </xdr:nvSpPr>
      <xdr:spPr>
        <a:xfrm>
          <a:off x="8147050" y="2647950"/>
          <a:ext cx="31877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700"/>
            <a:t>Having</a:t>
          </a:r>
          <a:r>
            <a:rPr lang="en-US" sz="700" baseline="0"/>
            <a:t> more roles does not mean you will progress faster. Experience alone is not enough</a:t>
          </a:r>
          <a:endParaRPr lang="en-US" sz="700"/>
        </a:p>
      </xdr:txBody>
    </xdr:sp>
    <xdr:clientData/>
  </xdr:oneCellAnchor>
  <xdr:oneCellAnchor>
    <xdr:from>
      <xdr:col>8</xdr:col>
      <xdr:colOff>25400</xdr:colOff>
      <xdr:row>16</xdr:row>
      <xdr:rowOff>120650</xdr:rowOff>
    </xdr:from>
    <xdr:ext cx="3162300" cy="298800"/>
    <xdr:sp macro="" textlink="">
      <xdr:nvSpPr>
        <xdr:cNvPr id="39" name="TextBox 38">
          <a:extLst>
            <a:ext uri="{FF2B5EF4-FFF2-40B4-BE49-F238E27FC236}">
              <a16:creationId xmlns:a16="http://schemas.microsoft.com/office/drawing/2014/main" id="{4ACC2AA5-80F2-42E5-9E1A-CE5921DAB67E}"/>
            </a:ext>
          </a:extLst>
        </xdr:cNvPr>
        <xdr:cNvSpPr txBox="1"/>
      </xdr:nvSpPr>
      <xdr:spPr>
        <a:xfrm>
          <a:off x="4902200" y="2660650"/>
          <a:ext cx="31623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700"/>
            <a:t>Male</a:t>
          </a:r>
          <a:r>
            <a:rPr lang="en-US" sz="700" baseline="0"/>
            <a:t> feel more comfortable in their work environments (16.52) than Female (15.9)</a:t>
          </a:r>
          <a:endParaRPr lang="en-US" sz="700"/>
        </a:p>
      </xdr:txBody>
    </xdr:sp>
    <xdr:clientData/>
  </xdr:oneCellAnchor>
  <xdr:twoCellAnchor editAs="oneCell">
    <xdr:from>
      <xdr:col>1</xdr:col>
      <xdr:colOff>346140</xdr:colOff>
      <xdr:row>29</xdr:row>
      <xdr:rowOff>15939</xdr:rowOff>
    </xdr:from>
    <xdr:to>
      <xdr:col>2</xdr:col>
      <xdr:colOff>64770</xdr:colOff>
      <xdr:row>31</xdr:row>
      <xdr:rowOff>19048</xdr:rowOff>
    </xdr:to>
    <xdr:pic>
      <xdr:nvPicPr>
        <xdr:cNvPr id="49" name="Picture 48">
          <a:hlinkClick xmlns:r="http://schemas.openxmlformats.org/officeDocument/2006/relationships" r:id="rId6"/>
          <a:extLst>
            <a:ext uri="{FF2B5EF4-FFF2-40B4-BE49-F238E27FC236}">
              <a16:creationId xmlns:a16="http://schemas.microsoft.com/office/drawing/2014/main" id="{437C3CDB-5CD3-454F-BDF9-050EA959249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48120" y="4877499"/>
          <a:ext cx="320610" cy="338389"/>
        </a:xfrm>
        <a:prstGeom prst="rect">
          <a:avLst/>
        </a:prstGeom>
      </xdr:spPr>
    </xdr:pic>
    <xdr:clientData/>
  </xdr:twoCellAnchor>
  <xdr:twoCellAnchor editAs="oneCell">
    <xdr:from>
      <xdr:col>1</xdr:col>
      <xdr:colOff>330201</xdr:colOff>
      <xdr:row>2</xdr:row>
      <xdr:rowOff>25485</xdr:rowOff>
    </xdr:from>
    <xdr:to>
      <xdr:col>1</xdr:col>
      <xdr:colOff>565150</xdr:colOff>
      <xdr:row>3</xdr:row>
      <xdr:rowOff>101684</xdr:rowOff>
    </xdr:to>
    <xdr:pic>
      <xdr:nvPicPr>
        <xdr:cNvPr id="51" name="Picture 50">
          <a:hlinkClick xmlns:r="http://schemas.openxmlformats.org/officeDocument/2006/relationships" r:id="rId8"/>
          <a:extLst>
            <a:ext uri="{FF2B5EF4-FFF2-40B4-BE49-F238E27FC236}">
              <a16:creationId xmlns:a16="http://schemas.microsoft.com/office/drawing/2014/main" id="{B1ABBCE7-7A05-4F58-910E-6D8ACF181DB7}"/>
            </a:ext>
          </a:extLst>
        </xdr:cNvPr>
        <xdr:cNvPicPr>
          <a:picLocks noChangeAspect="1"/>
        </xdr:cNvPicPr>
      </xdr:nvPicPr>
      <xdr:blipFill>
        <a:blip xmlns:r="http://schemas.openxmlformats.org/officeDocument/2006/relationships" r:embed="rId9"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939801" y="342985"/>
          <a:ext cx="234949" cy="234949"/>
        </a:xfrm>
        <a:prstGeom prst="rect">
          <a:avLst/>
        </a:prstGeom>
      </xdr:spPr>
    </xdr:pic>
    <xdr:clientData/>
  </xdr:twoCellAnchor>
  <xdr:twoCellAnchor editAs="oneCell">
    <xdr:from>
      <xdr:col>1</xdr:col>
      <xdr:colOff>336551</xdr:colOff>
      <xdr:row>15</xdr:row>
      <xdr:rowOff>44535</xdr:rowOff>
    </xdr:from>
    <xdr:to>
      <xdr:col>1</xdr:col>
      <xdr:colOff>584200</xdr:colOff>
      <xdr:row>16</xdr:row>
      <xdr:rowOff>133434</xdr:rowOff>
    </xdr:to>
    <xdr:pic>
      <xdr:nvPicPr>
        <xdr:cNvPr id="53" name="Picture 52">
          <a:hlinkClick xmlns:r="http://schemas.openxmlformats.org/officeDocument/2006/relationships" r:id="rId10"/>
          <a:extLst>
            <a:ext uri="{FF2B5EF4-FFF2-40B4-BE49-F238E27FC236}">
              <a16:creationId xmlns:a16="http://schemas.microsoft.com/office/drawing/2014/main" id="{7D24EC1D-2AC8-456E-8652-037086FFB7E9}"/>
            </a:ext>
          </a:extLst>
        </xdr:cNvPr>
        <xdr:cNvPicPr>
          <a:picLocks noChangeAspect="1"/>
        </xdr:cNvPicPr>
      </xdr:nvPicPr>
      <xdr:blipFill>
        <a:blip xmlns:r="http://schemas.openxmlformats.org/officeDocument/2006/relationships" r:embed="rId11"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946151" y="2425785"/>
          <a:ext cx="247649" cy="247649"/>
        </a:xfrm>
        <a:prstGeom prst="rect">
          <a:avLst/>
        </a:prstGeom>
      </xdr:spPr>
    </xdr:pic>
    <xdr:clientData/>
  </xdr:twoCellAnchor>
  <xdr:oneCellAnchor>
    <xdr:from>
      <xdr:col>1</xdr:col>
      <xdr:colOff>203200</xdr:colOff>
      <xdr:row>0</xdr:row>
      <xdr:rowOff>101600</xdr:rowOff>
    </xdr:from>
    <xdr:ext cx="589280" cy="195566"/>
    <xdr:sp macro="" textlink="">
      <xdr:nvSpPr>
        <xdr:cNvPr id="58" name="TextBox 57">
          <a:extLst>
            <a:ext uri="{FF2B5EF4-FFF2-40B4-BE49-F238E27FC236}">
              <a16:creationId xmlns:a16="http://schemas.microsoft.com/office/drawing/2014/main" id="{A2B4ABB1-1357-40DC-8E24-A9500C22A05A}"/>
            </a:ext>
          </a:extLst>
        </xdr:cNvPr>
        <xdr:cNvSpPr txBox="1"/>
      </xdr:nvSpPr>
      <xdr:spPr>
        <a:xfrm>
          <a:off x="805180" y="101600"/>
          <a:ext cx="589280" cy="1955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700">
              <a:solidFill>
                <a:srgbClr val="F0EFF4"/>
              </a:solidFill>
            </a:rPr>
            <a:t>Analysis </a:t>
          </a:r>
          <a:r>
            <a:rPr lang="en-US" sz="600">
              <a:solidFill>
                <a:srgbClr val="F0EFF4"/>
              </a:solidFill>
            </a:rPr>
            <a:t>!</a:t>
          </a:r>
        </a:p>
      </xdr:txBody>
    </xdr:sp>
    <xdr:clientData/>
  </xdr:oneCellAnchor>
  <xdr:oneCellAnchor>
    <xdr:from>
      <xdr:col>1</xdr:col>
      <xdr:colOff>184150</xdr:colOff>
      <xdr:row>13</xdr:row>
      <xdr:rowOff>101600</xdr:rowOff>
    </xdr:from>
    <xdr:ext cx="608330" cy="195566"/>
    <xdr:sp macro="" textlink="">
      <xdr:nvSpPr>
        <xdr:cNvPr id="59" name="TextBox 58">
          <a:extLst>
            <a:ext uri="{FF2B5EF4-FFF2-40B4-BE49-F238E27FC236}">
              <a16:creationId xmlns:a16="http://schemas.microsoft.com/office/drawing/2014/main" id="{F1FD216B-5C42-4EA2-BD51-506C8C239322}"/>
            </a:ext>
          </a:extLst>
        </xdr:cNvPr>
        <xdr:cNvSpPr txBox="1"/>
      </xdr:nvSpPr>
      <xdr:spPr>
        <a:xfrm>
          <a:off x="786130" y="2280920"/>
          <a:ext cx="608330" cy="1955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700">
              <a:solidFill>
                <a:srgbClr val="F0EFF4"/>
              </a:solidFill>
            </a:rPr>
            <a:t>Raw</a:t>
          </a:r>
          <a:r>
            <a:rPr lang="en-US" sz="700" baseline="0">
              <a:solidFill>
                <a:srgbClr val="F0EFF4"/>
              </a:solidFill>
            </a:rPr>
            <a:t> data</a:t>
          </a:r>
          <a:r>
            <a:rPr lang="en-US" sz="700">
              <a:solidFill>
                <a:srgbClr val="F0EFF4"/>
              </a:solidFill>
            </a:rPr>
            <a:t> !</a:t>
          </a:r>
        </a:p>
      </xdr:txBody>
    </xdr:sp>
    <xdr:clientData/>
  </xdr:oneCellAnchor>
  <xdr:oneCellAnchor>
    <xdr:from>
      <xdr:col>1</xdr:col>
      <xdr:colOff>171450</xdr:colOff>
      <xdr:row>26</xdr:row>
      <xdr:rowOff>146050</xdr:rowOff>
    </xdr:from>
    <xdr:ext cx="660400" cy="180755"/>
    <xdr:sp macro="" textlink="">
      <xdr:nvSpPr>
        <xdr:cNvPr id="60" name="TextBox 59">
          <a:extLst>
            <a:ext uri="{FF2B5EF4-FFF2-40B4-BE49-F238E27FC236}">
              <a16:creationId xmlns:a16="http://schemas.microsoft.com/office/drawing/2014/main" id="{BB769600-0544-40BA-ABB0-B558AFD4B03D}"/>
            </a:ext>
          </a:extLst>
        </xdr:cNvPr>
        <xdr:cNvSpPr txBox="1"/>
      </xdr:nvSpPr>
      <xdr:spPr>
        <a:xfrm>
          <a:off x="781050" y="4273550"/>
          <a:ext cx="660400" cy="1807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600">
              <a:solidFill>
                <a:srgbClr val="F0EFF4"/>
              </a:solidFill>
            </a:rPr>
            <a:t>Data</a:t>
          </a:r>
          <a:r>
            <a:rPr lang="en-US" sz="600" baseline="0">
              <a:solidFill>
                <a:srgbClr val="F0EFF4"/>
              </a:solidFill>
            </a:rPr>
            <a:t> Analyst</a:t>
          </a:r>
          <a:endParaRPr lang="en-US" sz="600">
            <a:solidFill>
              <a:srgbClr val="F0EFF4"/>
            </a:solidFill>
          </a:endParaRPr>
        </a:p>
      </xdr:txBody>
    </xdr:sp>
    <xdr:clientData/>
  </xdr:oneCellAnchor>
  <xdr:oneCellAnchor>
    <xdr:from>
      <xdr:col>1</xdr:col>
      <xdr:colOff>146050</xdr:colOff>
      <xdr:row>26</xdr:row>
      <xdr:rowOff>6350</xdr:rowOff>
    </xdr:from>
    <xdr:ext cx="762000" cy="195566"/>
    <xdr:sp macro="" textlink="">
      <xdr:nvSpPr>
        <xdr:cNvPr id="61" name="TextBox 60">
          <a:extLst>
            <a:ext uri="{FF2B5EF4-FFF2-40B4-BE49-F238E27FC236}">
              <a16:creationId xmlns:a16="http://schemas.microsoft.com/office/drawing/2014/main" id="{ACB99FDB-ECAD-4A7B-9631-4EFC86C27CE7}"/>
            </a:ext>
          </a:extLst>
        </xdr:cNvPr>
        <xdr:cNvSpPr txBox="1"/>
      </xdr:nvSpPr>
      <xdr:spPr>
        <a:xfrm>
          <a:off x="755650" y="4133850"/>
          <a:ext cx="762000" cy="1955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700">
              <a:solidFill>
                <a:srgbClr val="F0EFF4"/>
              </a:solidFill>
            </a:rPr>
            <a:t>Olivia</a:t>
          </a:r>
          <a:r>
            <a:rPr lang="en-US" sz="700" baseline="0">
              <a:solidFill>
                <a:srgbClr val="F0EFF4"/>
              </a:solidFill>
            </a:rPr>
            <a:t> Anetoh</a:t>
          </a:r>
          <a:endParaRPr lang="en-US" sz="700">
            <a:solidFill>
              <a:srgbClr val="F0EFF4"/>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5.080834143519" createdVersion="7" refreshedVersion="7" minRefreshableVersion="3" recordCount="35" xr:uid="{080CC6D5-2E38-4E4C-9C68-943792B92A4F}">
  <cacheSource type="worksheet">
    <worksheetSource name="Table1"/>
  </cacheSource>
  <cacheFields count="6">
    <cacheField name="Gender" numFmtId="0">
      <sharedItems containsMixedTypes="1" containsNumber="1" containsInteger="1" minValue="1" maxValue="2" count="4">
        <s v="Female"/>
        <s v="Male"/>
        <n v="2" u="1"/>
        <n v="1" u="1"/>
      </sharedItems>
    </cacheField>
    <cacheField name="Age" numFmtId="0">
      <sharedItems containsSemiMixedTypes="0" containsString="0" containsNumber="1" containsInteger="1" minValue="1" maxValue="6" count="6">
        <n v="6"/>
        <n v="5"/>
        <n v="4"/>
        <n v="3"/>
        <n v="2"/>
        <n v="1"/>
      </sharedItems>
    </cacheField>
    <cacheField name="Experience" numFmtId="0">
      <sharedItems containsSemiMixedTypes="0" containsString="0" containsNumber="1" containsInteger="1" minValue="1" maxValue="6" count="6">
        <n v="3"/>
        <n v="6"/>
        <n v="4"/>
        <n v="2"/>
        <n v="5"/>
        <n v="1"/>
      </sharedItems>
    </cacheField>
    <cacheField name="PB" numFmtId="0">
      <sharedItems containsSemiMixedTypes="0" containsString="0" containsNumber="1" containsInteger="1" minValue="11" maxValue="32"/>
    </cacheField>
    <cacheField name="PPE" numFmtId="0">
      <sharedItems containsSemiMixedTypes="0" containsString="0" containsNumber="1" containsInteger="1" minValue="9" maxValue="23"/>
    </cacheField>
    <cacheField name="CP" numFmtId="0">
      <sharedItems containsSemiMixedTypes="0" containsString="0" containsNumber="1" containsInteger="1" minValue="0" maxValue="22"/>
    </cacheField>
  </cacheFields>
  <extLst>
    <ext xmlns:x14="http://schemas.microsoft.com/office/spreadsheetml/2009/9/main" uri="{725AE2AE-9491-48be-B2B4-4EB974FC3084}">
      <x14:pivotCacheDefinition pivotCacheId="5676232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x v="0"/>
    <x v="0"/>
    <x v="0"/>
    <n v="13"/>
    <n v="14"/>
    <n v="15"/>
  </r>
  <r>
    <x v="0"/>
    <x v="0"/>
    <x v="1"/>
    <n v="21"/>
    <n v="20"/>
    <n v="3"/>
  </r>
  <r>
    <x v="0"/>
    <x v="1"/>
    <x v="0"/>
    <n v="18"/>
    <n v="14"/>
    <n v="16"/>
  </r>
  <r>
    <x v="0"/>
    <x v="2"/>
    <x v="2"/>
    <n v="27"/>
    <n v="13"/>
    <n v="15"/>
  </r>
  <r>
    <x v="0"/>
    <x v="3"/>
    <x v="3"/>
    <n v="21"/>
    <n v="22"/>
    <n v="7"/>
  </r>
  <r>
    <x v="0"/>
    <x v="2"/>
    <x v="2"/>
    <n v="20"/>
    <n v="13"/>
    <n v="10"/>
  </r>
  <r>
    <x v="0"/>
    <x v="0"/>
    <x v="3"/>
    <n v="21"/>
    <n v="14"/>
    <n v="4"/>
  </r>
  <r>
    <x v="0"/>
    <x v="0"/>
    <x v="2"/>
    <n v="11"/>
    <n v="21"/>
    <n v="10"/>
  </r>
  <r>
    <x v="0"/>
    <x v="2"/>
    <x v="2"/>
    <n v="24"/>
    <n v="11"/>
    <n v="22"/>
  </r>
  <r>
    <x v="0"/>
    <x v="3"/>
    <x v="0"/>
    <n v="24"/>
    <n v="17"/>
    <n v="0"/>
  </r>
  <r>
    <x v="1"/>
    <x v="2"/>
    <x v="0"/>
    <n v="16"/>
    <n v="13"/>
    <n v="2"/>
  </r>
  <r>
    <x v="1"/>
    <x v="4"/>
    <x v="0"/>
    <n v="20"/>
    <n v="16"/>
    <n v="4"/>
  </r>
  <r>
    <x v="1"/>
    <x v="1"/>
    <x v="0"/>
    <n v="17"/>
    <n v="22"/>
    <n v="2"/>
  </r>
  <r>
    <x v="1"/>
    <x v="2"/>
    <x v="2"/>
    <n v="13"/>
    <n v="9"/>
    <n v="0"/>
  </r>
  <r>
    <x v="1"/>
    <x v="2"/>
    <x v="3"/>
    <n v="24"/>
    <n v="21"/>
    <n v="0"/>
  </r>
  <r>
    <x v="1"/>
    <x v="2"/>
    <x v="4"/>
    <n v="15"/>
    <n v="12"/>
    <n v="0"/>
  </r>
  <r>
    <x v="1"/>
    <x v="1"/>
    <x v="0"/>
    <n v="21"/>
    <n v="20"/>
    <n v="0"/>
  </r>
  <r>
    <x v="1"/>
    <x v="0"/>
    <x v="3"/>
    <n v="29"/>
    <n v="21"/>
    <n v="0"/>
  </r>
  <r>
    <x v="1"/>
    <x v="3"/>
    <x v="0"/>
    <n v="21"/>
    <n v="14"/>
    <n v="4"/>
  </r>
  <r>
    <x v="1"/>
    <x v="0"/>
    <x v="3"/>
    <n v="12"/>
    <n v="22"/>
    <n v="6"/>
  </r>
  <r>
    <x v="1"/>
    <x v="1"/>
    <x v="2"/>
    <n v="16"/>
    <n v="11"/>
    <n v="2"/>
  </r>
  <r>
    <x v="1"/>
    <x v="5"/>
    <x v="5"/>
    <n v="26"/>
    <n v="23"/>
    <n v="0"/>
  </r>
  <r>
    <x v="1"/>
    <x v="4"/>
    <x v="0"/>
    <n v="24"/>
    <n v="22"/>
    <n v="0"/>
  </r>
  <r>
    <x v="1"/>
    <x v="2"/>
    <x v="4"/>
    <n v="21"/>
    <n v="12"/>
    <n v="7"/>
  </r>
  <r>
    <x v="1"/>
    <x v="4"/>
    <x v="3"/>
    <n v="32"/>
    <n v="10"/>
    <n v="0"/>
  </r>
  <r>
    <x v="1"/>
    <x v="3"/>
    <x v="2"/>
    <n v="25"/>
    <n v="18"/>
    <n v="0"/>
  </r>
  <r>
    <x v="1"/>
    <x v="3"/>
    <x v="2"/>
    <n v="23"/>
    <n v="11"/>
    <n v="4"/>
  </r>
  <r>
    <x v="1"/>
    <x v="1"/>
    <x v="2"/>
    <n v="18"/>
    <n v="16"/>
    <n v="5"/>
  </r>
  <r>
    <x v="1"/>
    <x v="2"/>
    <x v="3"/>
    <n v="22"/>
    <n v="21"/>
    <n v="0"/>
  </r>
  <r>
    <x v="1"/>
    <x v="2"/>
    <x v="2"/>
    <n v="16"/>
    <n v="14"/>
    <n v="1"/>
  </r>
  <r>
    <x v="1"/>
    <x v="2"/>
    <x v="0"/>
    <n v="15"/>
    <n v="22"/>
    <n v="0"/>
  </r>
  <r>
    <x v="1"/>
    <x v="1"/>
    <x v="2"/>
    <n v="17"/>
    <n v="22"/>
    <n v="0"/>
  </r>
  <r>
    <x v="1"/>
    <x v="1"/>
    <x v="0"/>
    <n v="24"/>
    <n v="13"/>
    <n v="8"/>
  </r>
  <r>
    <x v="1"/>
    <x v="2"/>
    <x v="0"/>
    <n v="26"/>
    <n v="17"/>
    <n v="0"/>
  </r>
  <r>
    <x v="1"/>
    <x v="2"/>
    <x v="0"/>
    <n v="17"/>
    <n v="1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9B00E2-C7F7-41A8-A0A0-B3060A1889C2}"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Q48:Q49" firstHeaderRow="1" firstDataRow="1" firstDataCol="0"/>
  <pivotFields count="6">
    <pivotField dataField="1" showAll="0">
      <items count="5">
        <item h="1" m="1" x="3"/>
        <item h="1" m="1" x="2"/>
        <item h="1" x="0"/>
        <item x="1"/>
        <item t="default"/>
      </items>
    </pivotField>
    <pivotField showAll="0">
      <items count="7">
        <item x="5"/>
        <item x="4"/>
        <item x="3"/>
        <item x="2"/>
        <item x="1"/>
        <item x="0"/>
        <item t="default"/>
      </items>
    </pivotField>
    <pivotField showAll="0"/>
    <pivotField showAll="0"/>
    <pivotField showAll="0"/>
    <pivotField showAll="0"/>
  </pivotFields>
  <rowItems count="1">
    <i/>
  </rowItems>
  <colItems count="1">
    <i/>
  </colItems>
  <dataFields count="1">
    <dataField name="Count of Gend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89DB1E-1AFD-49AC-B4A9-BC8CA0719DEE}"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E49:F56" firstHeaderRow="1" firstDataRow="1" firstDataCol="1"/>
  <pivotFields count="6">
    <pivotField showAll="0">
      <items count="5">
        <item h="1" m="1" x="3"/>
        <item h="1" m="1" x="2"/>
        <item h="1" x="0"/>
        <item x="1"/>
        <item t="default"/>
      </items>
    </pivotField>
    <pivotField axis="axisRow" showAll="0" sortType="descending">
      <items count="7">
        <item n="40 - 44" x="4"/>
        <item n="45 - 49" x="3"/>
        <item n="50 - 54" x="2"/>
        <item n="55 - 60" x="1"/>
        <item n="60+" x="0"/>
        <item n="35 - 39" x="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1"/>
  </rowFields>
  <rowItems count="7">
    <i>
      <x v="5"/>
    </i>
    <i>
      <x/>
    </i>
    <i>
      <x v="1"/>
    </i>
    <i>
      <x v="4"/>
    </i>
    <i>
      <x v="3"/>
    </i>
    <i>
      <x v="2"/>
    </i>
    <i t="grand">
      <x/>
    </i>
  </rowItems>
  <colItems count="1">
    <i/>
  </colItems>
  <dataFields count="1">
    <dataField name="Average of PB" fld="3" subtotal="average" baseField="1"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6AC2CA-1580-49A9-A7E7-5A7BFF06710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9:B51" firstHeaderRow="1" firstDataRow="1" firstDataCol="1"/>
  <pivotFields count="6">
    <pivotField axis="axisRow" showAll="0">
      <items count="5">
        <item h="1" m="1" x="3"/>
        <item h="1" m="1" x="2"/>
        <item h="1" x="0"/>
        <item x="1"/>
        <item t="default"/>
      </items>
    </pivotField>
    <pivotField showAll="0">
      <items count="7">
        <item x="5"/>
        <item x="4"/>
        <item x="3"/>
        <item x="2"/>
        <item x="1"/>
        <item x="0"/>
        <item t="default"/>
      </items>
    </pivotField>
    <pivotField showAll="0"/>
    <pivotField dataField="1" showAll="0"/>
    <pivotField showAll="0"/>
    <pivotField showAll="0"/>
  </pivotFields>
  <rowFields count="1">
    <field x="0"/>
  </rowFields>
  <rowItems count="2">
    <i>
      <x v="3"/>
    </i>
    <i t="grand">
      <x/>
    </i>
  </rowItems>
  <colItems count="1">
    <i/>
  </colItems>
  <dataFields count="1">
    <dataField name="Average of PB" fld="3" subtotal="average"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8F0FEC-0D78-4F10-8C1D-30FADB3526DA}"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N49:O51" firstHeaderRow="1" firstDataRow="1" firstDataCol="1"/>
  <pivotFields count="6">
    <pivotField axis="axisRow" showAll="0">
      <items count="5">
        <item h="1" m="1" x="3"/>
        <item h="1" m="1" x="2"/>
        <item h="1" x="0"/>
        <item x="1"/>
        <item t="default"/>
      </items>
    </pivotField>
    <pivotField showAll="0">
      <items count="7">
        <item x="5"/>
        <item x="4"/>
        <item x="3"/>
        <item x="2"/>
        <item x="1"/>
        <item x="0"/>
        <item t="default"/>
      </items>
    </pivotField>
    <pivotField showAll="0"/>
    <pivotField showAll="0"/>
    <pivotField dataField="1" showAll="0"/>
    <pivotField showAll="0"/>
  </pivotFields>
  <rowFields count="1">
    <field x="0"/>
  </rowFields>
  <rowItems count="2">
    <i>
      <x v="3"/>
    </i>
    <i t="grand">
      <x/>
    </i>
  </rowItems>
  <colItems count="1">
    <i/>
  </colItems>
  <dataFields count="1">
    <dataField name="Average of PPE" fld="4" subtotal="average"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78BA35-E073-474A-97B5-07F04FA58A97}"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K49:L51" firstHeaderRow="1" firstDataRow="1" firstDataCol="1"/>
  <pivotFields count="6">
    <pivotField axis="axisRow" showAll="0">
      <items count="5">
        <item h="1" m="1" x="3"/>
        <item h="1" m="1" x="2"/>
        <item h="1" x="0"/>
        <item x="1"/>
        <item t="default"/>
      </items>
    </pivotField>
    <pivotField showAll="0">
      <items count="7">
        <item x="5"/>
        <item x="4"/>
        <item x="3"/>
        <item x="2"/>
        <item x="1"/>
        <item x="0"/>
        <item t="default"/>
      </items>
    </pivotField>
    <pivotField showAll="0"/>
    <pivotField showAll="0"/>
    <pivotField showAll="0"/>
    <pivotField dataField="1" showAll="0"/>
  </pivotFields>
  <rowFields count="1">
    <field x="0"/>
  </rowFields>
  <rowItems count="2">
    <i>
      <x v="3"/>
    </i>
    <i t="grand">
      <x/>
    </i>
  </rowItems>
  <colItems count="1">
    <i/>
  </colItems>
  <dataFields count="1">
    <dataField name="Average of CP" fld="5" subtotal="average" baseField="0" baseItem="1"/>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1C3205-F24B-46BC-A3E6-48BD2A732032}"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H49:I55" firstHeaderRow="1" firstDataRow="1" firstDataCol="1"/>
  <pivotFields count="6">
    <pivotField showAll="0">
      <items count="5">
        <item h="1" m="1" x="3"/>
        <item h="1" m="1" x="2"/>
        <item h="1" x="0"/>
        <item x="1"/>
        <item t="default"/>
      </items>
    </pivotField>
    <pivotField showAll="0">
      <items count="7">
        <item x="5"/>
        <item x="4"/>
        <item x="3"/>
        <item x="2"/>
        <item x="1"/>
        <item x="0"/>
        <item t="default"/>
      </items>
    </pivotField>
    <pivotField axis="axisRow" showAll="0">
      <items count="7">
        <item n="1 roles" x="5"/>
        <item n="2 roles" x="3"/>
        <item n="3 roles" x="0"/>
        <item n=" 4 roles" x="2"/>
        <item n=" 5 roles" x="4"/>
        <item n=" 6 roles" x="1"/>
        <item t="default"/>
      </items>
    </pivotField>
    <pivotField showAll="0"/>
    <pivotField showAll="0"/>
    <pivotField dataField="1" showAll="0"/>
  </pivotFields>
  <rowFields count="1">
    <field x="2"/>
  </rowFields>
  <rowItems count="6">
    <i>
      <x/>
    </i>
    <i>
      <x v="1"/>
    </i>
    <i>
      <x v="2"/>
    </i>
    <i>
      <x v="3"/>
    </i>
    <i>
      <x v="4"/>
    </i>
    <i t="grand">
      <x/>
    </i>
  </rowItems>
  <colItems count="1">
    <i/>
  </colItems>
  <dataFields count="1">
    <dataField name="Average of CP" fld="5" subtotal="average" baseField="2" baseItem="1" numFmtId="2"/>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D994E19-C8E5-4017-A368-41D6525CCF00}" sourceName="Gender">
  <pivotTables>
    <pivotTable tabId="5" name="PivotTable2"/>
    <pivotTable tabId="5" name="PivotTable1"/>
    <pivotTable tabId="5" name="PivotTable3"/>
    <pivotTable tabId="5" name="PivotTable4"/>
    <pivotTable tabId="5" name="PivotTable5"/>
    <pivotTable tabId="5" name="PivotTable6"/>
  </pivotTables>
  <data>
    <tabular pivotCacheId="567623298">
      <items count="4">
        <i x="0"/>
        <i x="1" s="1"/>
        <i x="3" nd="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95381CE2-5220-408E-931F-971116A2ACD0}" sourceName="Age">
  <pivotTables>
    <pivotTable tabId="5" name="PivotTable2"/>
    <pivotTable tabId="5" name="PivotTable1"/>
    <pivotTable tabId="5" name="PivotTable3"/>
    <pivotTable tabId="5" name="PivotTable4"/>
    <pivotTable tabId="5" name="PivotTable5"/>
    <pivotTable tabId="5" name="PivotTable6"/>
  </pivotTables>
  <data>
    <tabular pivotCacheId="567623298">
      <items count="6">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9AE57E5-B3E5-48F2-AE21-49FE40CE6F55}" cache="Slicer_Gender" caption="Gender" columnCount="2" style="Slicer Style 2" rowHeight="220133"/>
  <slicer name="Age" xr10:uid="{5C140AAF-A2F2-4D76-B5EB-CF41859CD205}" cache="Slicer_Age" caption="Age" startItem="2" style="Slicer Style 1"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7CD6D7-C51B-4917-AADB-F55F75394BA3}" name="Table1" displayName="Table1" ref="A1:F36" totalsRowShown="0">
  <autoFilter ref="A1:F36" xr:uid="{337CD6D7-C51B-4917-AADB-F55F75394BA3}"/>
  <tableColumns count="6">
    <tableColumn id="1" xr3:uid="{C4FE5133-B34F-4BBF-A378-4820AFBF7B2E}" name="Gender"/>
    <tableColumn id="2" xr3:uid="{8FFB9B4D-48E4-471C-BF07-BE0D035789AE}" name="Age"/>
    <tableColumn id="3" xr3:uid="{2782405D-26EB-458F-9FDB-3716D93AA0D0}" name="Experience"/>
    <tableColumn id="4" xr3:uid="{62F97615-18C2-449E-A2D0-BDCA4AD06744}" name="PB"/>
    <tableColumn id="5" xr3:uid="{DDD403DA-9741-4755-8C46-72A7D69486A7}" name="PPE"/>
    <tableColumn id="6" xr3:uid="{2FB0CAAC-7AFD-47F6-8AD1-FE69902D2DF6}" name="CP"/>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K38"/>
  <sheetViews>
    <sheetView workbookViewId="0">
      <pane ySplit="2" topLeftCell="A3" activePane="bottomLeft" state="frozen"/>
      <selection pane="bottomLeft" activeCell="D37" sqref="D37"/>
    </sheetView>
  </sheetViews>
  <sheetFormatPr defaultColWidth="12.5546875" defaultRowHeight="15.75" customHeight="1" x14ac:dyDescent="0.25"/>
  <cols>
    <col min="1" max="1" width="25.88671875" bestFit="1" customWidth="1"/>
    <col min="2" max="2" width="26.77734375" customWidth="1"/>
    <col min="3" max="3" width="22.44140625" customWidth="1"/>
    <col min="4" max="4" width="27.6640625" customWidth="1"/>
    <col min="5" max="5" width="20.33203125" customWidth="1"/>
    <col min="6" max="6" width="27.33203125" bestFit="1" customWidth="1"/>
    <col min="7" max="7" width="55.21875" bestFit="1" customWidth="1"/>
    <col min="8" max="8" width="47.77734375" bestFit="1" customWidth="1"/>
    <col min="9" max="9" width="95.21875" bestFit="1" customWidth="1"/>
    <col min="10" max="10" width="50.109375" bestFit="1" customWidth="1"/>
    <col min="11" max="11" width="56.5546875" bestFit="1" customWidth="1"/>
    <col min="12" max="12" width="107.6640625" bestFit="1" customWidth="1"/>
    <col min="13" max="13" width="107" bestFit="1" customWidth="1"/>
    <col min="14" max="14" width="107.6640625" bestFit="1" customWidth="1"/>
    <col min="15" max="15" width="94.21875" bestFit="1" customWidth="1"/>
    <col min="16" max="16" width="112.77734375" bestFit="1" customWidth="1"/>
    <col min="17" max="17" width="94.21875" bestFit="1" customWidth="1"/>
    <col min="18" max="18" width="99.5546875" bestFit="1" customWidth="1"/>
    <col min="19" max="19" width="108.109375" bestFit="1" customWidth="1"/>
    <col min="20" max="20" width="130.44140625" bestFit="1" customWidth="1"/>
    <col min="21" max="21" width="123" bestFit="1" customWidth="1"/>
    <col min="22" max="22" width="136.77734375" bestFit="1" customWidth="1"/>
    <col min="23" max="23" width="144.5546875" bestFit="1" customWidth="1"/>
    <col min="24" max="24" width="128.21875" bestFit="1" customWidth="1"/>
    <col min="25" max="25" width="112.77734375" bestFit="1" customWidth="1"/>
    <col min="26" max="26" width="118.44140625" bestFit="1" customWidth="1"/>
    <col min="27" max="27" width="119.33203125" bestFit="1" customWidth="1"/>
    <col min="28" max="28" width="115.6640625" bestFit="1" customWidth="1"/>
    <col min="29" max="29" width="81.21875" bestFit="1" customWidth="1"/>
    <col min="30" max="30" width="105" bestFit="1" customWidth="1"/>
    <col min="31" max="31" width="60.21875" bestFit="1" customWidth="1"/>
    <col min="32" max="32" width="72.44140625" bestFit="1" customWidth="1"/>
    <col min="33" max="33" width="96.77734375" bestFit="1" customWidth="1"/>
    <col min="34" max="34" width="93.77734375" bestFit="1" customWidth="1"/>
    <col min="35" max="35" width="107.77734375" bestFit="1" customWidth="1"/>
    <col min="36" max="36" width="104.77734375" bestFit="1" customWidth="1"/>
    <col min="37" max="37" width="154.77734375" bestFit="1" customWidth="1"/>
    <col min="38" max="38" width="113.88671875" bestFit="1" customWidth="1"/>
    <col min="39" max="39" width="116.109375" bestFit="1" customWidth="1"/>
    <col min="40" max="40" width="127.44140625" bestFit="1" customWidth="1"/>
    <col min="41" max="41" width="124.88671875" bestFit="1" customWidth="1"/>
    <col min="42" max="42" width="118.77734375" bestFit="1" customWidth="1"/>
    <col min="43" max="43" width="141.21875" bestFit="1" customWidth="1"/>
    <col min="44" max="44" width="130.44140625" bestFit="1" customWidth="1"/>
    <col min="45" max="45" width="120.21875" bestFit="1" customWidth="1"/>
    <col min="46" max="46" width="119.21875" bestFit="1" customWidth="1"/>
    <col min="47" max="47" width="159.88671875" bestFit="1" customWidth="1"/>
    <col min="48" max="48" width="88.77734375" bestFit="1" customWidth="1"/>
    <col min="49" max="49" width="116.33203125" bestFit="1" customWidth="1"/>
    <col min="50" max="50" width="98" bestFit="1" customWidth="1"/>
    <col min="51" max="51" width="101.21875" bestFit="1" customWidth="1"/>
    <col min="52" max="52" width="112.5546875" bestFit="1" customWidth="1"/>
    <col min="53" max="53" width="110" bestFit="1" customWidth="1"/>
    <col min="54" max="54" width="101.77734375" bestFit="1" customWidth="1"/>
    <col min="55" max="55" width="125.109375" bestFit="1" customWidth="1"/>
    <col min="56" max="56" width="115.6640625" bestFit="1" customWidth="1"/>
    <col min="57" max="57" width="105.21875" bestFit="1" customWidth="1"/>
    <col min="58" max="58" width="104.77734375" bestFit="1" customWidth="1"/>
    <col min="59" max="59" width="111.77734375" bestFit="1" customWidth="1"/>
    <col min="60" max="60" width="145.109375" bestFit="1" customWidth="1"/>
    <col min="61" max="61" width="211.21875" bestFit="1" customWidth="1"/>
    <col min="62" max="62" width="219.44140625" bestFit="1" customWidth="1"/>
    <col min="63" max="63" width="119.77734375" bestFit="1" customWidth="1"/>
    <col min="64" max="69" width="18.88671875" customWidth="1"/>
  </cols>
  <sheetData>
    <row r="1" spans="1:63" ht="15.75" customHeight="1" x14ac:dyDescent="0.25">
      <c r="A1" s="5">
        <v>2</v>
      </c>
      <c r="B1" s="5">
        <v>3</v>
      </c>
      <c r="C1" s="5">
        <v>4</v>
      </c>
      <c r="D1" s="5">
        <v>5</v>
      </c>
      <c r="E1" s="5">
        <v>6</v>
      </c>
      <c r="F1" s="5">
        <v>7</v>
      </c>
      <c r="G1" s="5">
        <v>8</v>
      </c>
      <c r="H1" s="5">
        <v>9</v>
      </c>
      <c r="I1" s="5">
        <v>10</v>
      </c>
      <c r="J1" s="5">
        <v>11</v>
      </c>
      <c r="K1" s="5">
        <v>12</v>
      </c>
      <c r="L1" s="5">
        <v>13</v>
      </c>
      <c r="M1" s="5">
        <v>14</v>
      </c>
      <c r="N1" s="5">
        <v>15</v>
      </c>
      <c r="O1" s="5">
        <v>16</v>
      </c>
      <c r="P1" s="5">
        <v>17</v>
      </c>
      <c r="Q1" s="5">
        <v>18</v>
      </c>
      <c r="R1" s="5">
        <v>19</v>
      </c>
      <c r="S1" s="5">
        <v>20</v>
      </c>
      <c r="T1" s="5">
        <v>21</v>
      </c>
      <c r="U1" s="5">
        <v>22</v>
      </c>
      <c r="V1" s="5">
        <v>23</v>
      </c>
      <c r="W1" s="5">
        <v>24</v>
      </c>
      <c r="X1" s="5">
        <v>25</v>
      </c>
      <c r="Y1" s="5">
        <v>26</v>
      </c>
      <c r="Z1" s="5">
        <v>27</v>
      </c>
      <c r="AA1" s="5">
        <v>28</v>
      </c>
      <c r="AB1" s="5">
        <v>29</v>
      </c>
      <c r="AC1" s="5">
        <v>30</v>
      </c>
      <c r="AD1" s="5">
        <v>31</v>
      </c>
      <c r="AE1" s="5">
        <v>32</v>
      </c>
      <c r="AF1" s="5">
        <v>33</v>
      </c>
      <c r="AG1" s="5">
        <v>34</v>
      </c>
      <c r="AH1" s="5">
        <v>35</v>
      </c>
      <c r="AI1" s="5">
        <v>36</v>
      </c>
      <c r="AJ1" s="5">
        <v>37</v>
      </c>
      <c r="AK1" s="5">
        <v>38</v>
      </c>
      <c r="AL1" s="5">
        <v>39</v>
      </c>
      <c r="AM1" s="5">
        <v>40</v>
      </c>
      <c r="AN1" s="5">
        <v>41</v>
      </c>
      <c r="AO1" s="5">
        <v>42</v>
      </c>
      <c r="AP1" s="5">
        <v>43</v>
      </c>
      <c r="AQ1" s="5">
        <v>44</v>
      </c>
      <c r="AR1" s="5">
        <v>45</v>
      </c>
      <c r="AS1" s="5">
        <v>46</v>
      </c>
      <c r="AT1" s="5">
        <v>47</v>
      </c>
      <c r="AU1" s="5">
        <v>48</v>
      </c>
      <c r="AV1" s="5">
        <v>49</v>
      </c>
      <c r="AW1" s="5">
        <v>50</v>
      </c>
      <c r="AX1" s="5">
        <v>51</v>
      </c>
      <c r="AY1" s="5">
        <v>52</v>
      </c>
      <c r="AZ1" s="5">
        <v>53</v>
      </c>
      <c r="BA1" s="5">
        <v>54</v>
      </c>
      <c r="BB1" s="5">
        <v>55</v>
      </c>
      <c r="BC1" s="5">
        <v>56</v>
      </c>
      <c r="BD1" s="5">
        <v>57</v>
      </c>
      <c r="BE1" s="5">
        <v>58</v>
      </c>
      <c r="BF1" s="5">
        <v>59</v>
      </c>
      <c r="BG1" s="5">
        <v>60</v>
      </c>
      <c r="BH1" s="5">
        <v>61</v>
      </c>
      <c r="BI1" s="5"/>
      <c r="BJ1" s="5">
        <v>63</v>
      </c>
      <c r="BK1" s="5">
        <v>64</v>
      </c>
    </row>
    <row r="2" spans="1:63" ht="13.2" x14ac:dyDescent="0.25">
      <c r="A2" s="1" t="s">
        <v>1</v>
      </c>
      <c r="B2" s="1" t="s">
        <v>2</v>
      </c>
      <c r="C2" s="1" t="s">
        <v>3</v>
      </c>
      <c r="D2" s="1" t="s">
        <v>4</v>
      </c>
      <c r="E2" s="1" t="s">
        <v>5</v>
      </c>
      <c r="F2" s="2" t="s">
        <v>6</v>
      </c>
      <c r="G2" s="1" t="s">
        <v>7</v>
      </c>
      <c r="H2" s="1" t="s">
        <v>8</v>
      </c>
      <c r="I2" s="1" t="s">
        <v>9</v>
      </c>
      <c r="J2" s="1" t="s">
        <v>10</v>
      </c>
      <c r="K2" s="1" t="s">
        <v>11</v>
      </c>
      <c r="L2" s="1" t="s">
        <v>12</v>
      </c>
      <c r="M2" s="1" t="s">
        <v>13</v>
      </c>
      <c r="N2" s="1" t="s">
        <v>14</v>
      </c>
      <c r="O2" s="1" t="s">
        <v>15</v>
      </c>
      <c r="P2" s="1" t="s">
        <v>16</v>
      </c>
      <c r="Q2" s="1" t="s">
        <v>17</v>
      </c>
      <c r="R2" s="1" t="s">
        <v>18</v>
      </c>
      <c r="S2" s="1" t="s">
        <v>19</v>
      </c>
      <c r="T2" s="1" t="s">
        <v>20</v>
      </c>
      <c r="U2" s="1" t="s">
        <v>21</v>
      </c>
      <c r="V2" s="1" t="s">
        <v>22</v>
      </c>
      <c r="W2" s="1" t="s">
        <v>23</v>
      </c>
      <c r="X2" s="1" t="s">
        <v>24</v>
      </c>
      <c r="Y2" s="1" t="s">
        <v>25</v>
      </c>
      <c r="Z2" s="1" t="s">
        <v>26</v>
      </c>
      <c r="AA2" s="1" t="s">
        <v>27</v>
      </c>
      <c r="AB2" s="1" t="s">
        <v>28</v>
      </c>
      <c r="AC2" s="1" t="s">
        <v>29</v>
      </c>
      <c r="AD2" s="1" t="s">
        <v>30</v>
      </c>
      <c r="AE2" s="1" t="s">
        <v>31</v>
      </c>
      <c r="AF2" s="1" t="s">
        <v>32</v>
      </c>
      <c r="AG2" s="1" t="s">
        <v>33</v>
      </c>
      <c r="AH2" s="1" t="s">
        <v>34</v>
      </c>
      <c r="AI2" s="1" t="s">
        <v>35</v>
      </c>
      <c r="AJ2" s="1" t="s">
        <v>36</v>
      </c>
      <c r="AK2" s="1" t="s">
        <v>37</v>
      </c>
      <c r="AL2" s="1" t="s">
        <v>38</v>
      </c>
      <c r="AM2" s="1" t="s">
        <v>39</v>
      </c>
      <c r="AN2" s="1" t="s">
        <v>40</v>
      </c>
      <c r="AO2" s="1" t="s">
        <v>41</v>
      </c>
      <c r="AP2" s="1" t="s">
        <v>42</v>
      </c>
      <c r="AQ2" s="1" t="s">
        <v>43</v>
      </c>
      <c r="AR2" s="1" t="s">
        <v>44</v>
      </c>
      <c r="AS2" s="1" t="s">
        <v>45</v>
      </c>
      <c r="AT2" s="1" t="s">
        <v>46</v>
      </c>
      <c r="AU2" s="1" t="s">
        <v>47</v>
      </c>
      <c r="AV2" s="1" t="s">
        <v>48</v>
      </c>
      <c r="AW2" s="1" t="s">
        <v>49</v>
      </c>
      <c r="AX2" s="1" t="s">
        <v>50</v>
      </c>
      <c r="AY2" s="1" t="s">
        <v>51</v>
      </c>
      <c r="AZ2" s="1" t="s">
        <v>52</v>
      </c>
      <c r="BA2" s="1" t="s">
        <v>53</v>
      </c>
      <c r="BB2" s="1" t="s">
        <v>54</v>
      </c>
      <c r="BC2" s="1" t="s">
        <v>55</v>
      </c>
      <c r="BD2" s="1" t="s">
        <v>56</v>
      </c>
      <c r="BE2" s="1" t="s">
        <v>57</v>
      </c>
      <c r="BF2" s="1" t="s">
        <v>58</v>
      </c>
      <c r="BG2" s="1" t="s">
        <v>59</v>
      </c>
      <c r="BH2" s="1" t="s">
        <v>60</v>
      </c>
      <c r="BI2" s="1" t="s">
        <v>61</v>
      </c>
      <c r="BJ2" s="1" t="s">
        <v>62</v>
      </c>
      <c r="BK2" s="1" t="s">
        <v>63</v>
      </c>
    </row>
    <row r="3" spans="1:63" ht="13.2" x14ac:dyDescent="0.25">
      <c r="A3" s="1">
        <v>1</v>
      </c>
      <c r="B3" s="1" t="s">
        <v>64</v>
      </c>
      <c r="C3" s="1" t="s">
        <v>65</v>
      </c>
      <c r="D3" s="1" t="s">
        <v>66</v>
      </c>
      <c r="E3" s="1" t="s">
        <v>67</v>
      </c>
      <c r="F3" s="1">
        <v>2</v>
      </c>
      <c r="G3" s="1" t="s">
        <v>68</v>
      </c>
      <c r="H3" s="1" t="s">
        <v>69</v>
      </c>
      <c r="I3" s="1" t="s">
        <v>70</v>
      </c>
      <c r="J3" s="3" t="s">
        <v>71</v>
      </c>
      <c r="K3" s="3" t="s">
        <v>71</v>
      </c>
      <c r="L3" s="1" t="s">
        <v>72</v>
      </c>
      <c r="M3" s="1" t="s">
        <v>72</v>
      </c>
      <c r="N3" s="1" t="s">
        <v>72</v>
      </c>
      <c r="O3" s="1" t="s">
        <v>73</v>
      </c>
      <c r="P3" s="1" t="s">
        <v>72</v>
      </c>
      <c r="Q3" s="1" t="s">
        <v>74</v>
      </c>
      <c r="R3" s="1" t="s">
        <v>72</v>
      </c>
      <c r="S3" s="1" t="s">
        <v>73</v>
      </c>
      <c r="T3" s="1" t="s">
        <v>75</v>
      </c>
      <c r="U3" s="1" t="s">
        <v>76</v>
      </c>
      <c r="V3" s="1" t="s">
        <v>75</v>
      </c>
      <c r="W3" s="1" t="s">
        <v>75</v>
      </c>
      <c r="X3" s="1" t="s">
        <v>77</v>
      </c>
      <c r="Y3" s="1" t="s">
        <v>75</v>
      </c>
      <c r="Z3" s="1" t="s">
        <v>75</v>
      </c>
      <c r="AA3" s="1" t="s">
        <v>75</v>
      </c>
      <c r="AB3" s="1" t="s">
        <v>77</v>
      </c>
      <c r="AC3" s="1" t="s">
        <v>78</v>
      </c>
      <c r="AD3" s="1" t="s">
        <v>78</v>
      </c>
      <c r="AE3" s="1" t="s">
        <v>79</v>
      </c>
      <c r="AF3" s="1" t="s">
        <v>80</v>
      </c>
      <c r="AG3" s="1" t="s">
        <v>81</v>
      </c>
      <c r="AH3" s="1" t="s">
        <v>82</v>
      </c>
      <c r="AI3" s="1" t="s">
        <v>82</v>
      </c>
      <c r="AJ3" s="1" t="s">
        <v>78</v>
      </c>
      <c r="AK3" s="1" t="s">
        <v>83</v>
      </c>
      <c r="AL3" s="1" t="s">
        <v>84</v>
      </c>
      <c r="AM3" s="1" t="s">
        <v>84</v>
      </c>
      <c r="AN3" s="1" t="s">
        <v>78</v>
      </c>
      <c r="AO3" s="1" t="s">
        <v>78</v>
      </c>
      <c r="AP3" s="1" t="s">
        <v>78</v>
      </c>
      <c r="AQ3" s="1" t="s">
        <v>83</v>
      </c>
      <c r="AR3" s="1" t="s">
        <v>83</v>
      </c>
      <c r="AS3" s="1" t="s">
        <v>83</v>
      </c>
      <c r="AT3" s="1" t="s">
        <v>83</v>
      </c>
      <c r="AU3" s="1" t="s">
        <v>84</v>
      </c>
      <c r="AV3" s="1" t="s">
        <v>78</v>
      </c>
      <c r="AW3" s="1" t="s">
        <v>83</v>
      </c>
      <c r="AX3" s="1" t="s">
        <v>84</v>
      </c>
      <c r="AY3" s="1" t="s">
        <v>84</v>
      </c>
      <c r="AZ3" s="1" t="s">
        <v>84</v>
      </c>
      <c r="BA3" s="1" t="s">
        <v>84</v>
      </c>
      <c r="BB3" s="1" t="s">
        <v>78</v>
      </c>
      <c r="BC3" s="1" t="s">
        <v>83</v>
      </c>
      <c r="BD3" s="1" t="s">
        <v>83</v>
      </c>
      <c r="BE3" s="1" t="s">
        <v>83</v>
      </c>
      <c r="BF3" s="1" t="s">
        <v>84</v>
      </c>
      <c r="BH3" s="1" t="s">
        <v>84</v>
      </c>
      <c r="BI3" s="1"/>
      <c r="BK3" s="1" t="s">
        <v>85</v>
      </c>
    </row>
    <row r="4" spans="1:63" ht="13.2" x14ac:dyDescent="0.25">
      <c r="A4" s="1">
        <v>1</v>
      </c>
      <c r="B4" s="1" t="s">
        <v>64</v>
      </c>
      <c r="C4" s="1" t="s">
        <v>65</v>
      </c>
      <c r="D4" s="1" t="s">
        <v>86</v>
      </c>
      <c r="E4" s="1" t="s">
        <v>67</v>
      </c>
      <c r="F4" s="1" t="s">
        <v>87</v>
      </c>
      <c r="G4" s="1" t="s">
        <v>88</v>
      </c>
      <c r="H4" s="1" t="s">
        <v>89</v>
      </c>
      <c r="I4" s="1" t="s">
        <v>90</v>
      </c>
      <c r="J4" s="3" t="s">
        <v>91</v>
      </c>
      <c r="K4" s="3" t="s">
        <v>91</v>
      </c>
      <c r="L4" s="1" t="s">
        <v>92</v>
      </c>
      <c r="M4" s="1" t="s">
        <v>92</v>
      </c>
      <c r="N4" s="1" t="s">
        <v>72</v>
      </c>
      <c r="O4" s="1" t="s">
        <v>74</v>
      </c>
      <c r="P4" s="1" t="s">
        <v>73</v>
      </c>
      <c r="Q4" s="1" t="s">
        <v>74</v>
      </c>
      <c r="R4" s="1" t="s">
        <v>72</v>
      </c>
      <c r="S4" s="1" t="s">
        <v>72</v>
      </c>
      <c r="T4" s="1" t="s">
        <v>93</v>
      </c>
      <c r="U4" s="1" t="s">
        <v>94</v>
      </c>
      <c r="V4" s="1" t="s">
        <v>94</v>
      </c>
      <c r="W4" s="1" t="s">
        <v>75</v>
      </c>
      <c r="X4" s="1" t="s">
        <v>75</v>
      </c>
      <c r="Y4" s="1" t="s">
        <v>75</v>
      </c>
      <c r="Z4" s="1" t="s">
        <v>75</v>
      </c>
      <c r="AA4" s="1" t="s">
        <v>75</v>
      </c>
      <c r="AB4" s="1" t="s">
        <v>76</v>
      </c>
      <c r="AC4" s="1" t="s">
        <v>78</v>
      </c>
      <c r="AD4" s="1" t="s">
        <v>78</v>
      </c>
      <c r="AE4" s="1" t="s">
        <v>95</v>
      </c>
      <c r="AF4" s="1" t="s">
        <v>80</v>
      </c>
      <c r="AG4" s="1" t="s">
        <v>96</v>
      </c>
      <c r="AH4" s="1" t="s">
        <v>96</v>
      </c>
      <c r="AI4" s="1" t="s">
        <v>96</v>
      </c>
      <c r="AJ4" s="1" t="s">
        <v>78</v>
      </c>
      <c r="AK4" s="1" t="s">
        <v>84</v>
      </c>
      <c r="AL4" s="1" t="s">
        <v>97</v>
      </c>
      <c r="AM4" s="1" t="s">
        <v>97</v>
      </c>
      <c r="AN4" s="1" t="s">
        <v>97</v>
      </c>
      <c r="AO4" s="1" t="s">
        <v>84</v>
      </c>
      <c r="AP4" s="1" t="s">
        <v>84</v>
      </c>
      <c r="AQ4" s="1" t="s">
        <v>78</v>
      </c>
      <c r="AR4" s="1" t="s">
        <v>84</v>
      </c>
      <c r="AS4" s="1" t="s">
        <v>78</v>
      </c>
      <c r="AT4" s="1" t="s">
        <v>84</v>
      </c>
      <c r="AU4" s="1" t="s">
        <v>84</v>
      </c>
      <c r="AV4" s="1" t="s">
        <v>84</v>
      </c>
      <c r="AW4" s="1" t="s">
        <v>84</v>
      </c>
      <c r="AX4" s="1" t="s">
        <v>84</v>
      </c>
      <c r="AY4" s="1" t="s">
        <v>84</v>
      </c>
      <c r="AZ4" s="1" t="s">
        <v>84</v>
      </c>
      <c r="BA4" s="1" t="s">
        <v>84</v>
      </c>
      <c r="BB4" s="1" t="s">
        <v>84</v>
      </c>
      <c r="BC4" s="1" t="s">
        <v>84</v>
      </c>
      <c r="BD4" s="1" t="s">
        <v>84</v>
      </c>
      <c r="BE4" s="1" t="s">
        <v>84</v>
      </c>
      <c r="BF4" s="1" t="s">
        <v>84</v>
      </c>
      <c r="BH4" s="1" t="s">
        <v>84</v>
      </c>
      <c r="BI4" s="1"/>
      <c r="BK4" s="1">
        <v>1</v>
      </c>
    </row>
    <row r="5" spans="1:63" ht="13.2" x14ac:dyDescent="0.25">
      <c r="A5" s="1">
        <v>1</v>
      </c>
      <c r="B5" s="1" t="s">
        <v>69</v>
      </c>
      <c r="C5" s="1" t="s">
        <v>65</v>
      </c>
      <c r="D5" s="1" t="s">
        <v>86</v>
      </c>
      <c r="E5" s="1" t="s">
        <v>110</v>
      </c>
      <c r="F5" s="1" t="s">
        <v>98</v>
      </c>
      <c r="G5" s="1" t="s">
        <v>99</v>
      </c>
      <c r="H5" s="1" t="s">
        <v>89</v>
      </c>
      <c r="I5" s="1" t="s">
        <v>100</v>
      </c>
      <c r="J5" s="3" t="s">
        <v>71</v>
      </c>
      <c r="K5" s="3" t="s">
        <v>71</v>
      </c>
      <c r="L5" s="1" t="s">
        <v>72</v>
      </c>
      <c r="M5" s="1" t="s">
        <v>72</v>
      </c>
      <c r="N5" s="1" t="s">
        <v>72</v>
      </c>
      <c r="O5" s="1" t="s">
        <v>72</v>
      </c>
      <c r="P5" s="1" t="s">
        <v>73</v>
      </c>
      <c r="Q5" s="1" t="s">
        <v>74</v>
      </c>
      <c r="R5" s="1" t="s">
        <v>72</v>
      </c>
      <c r="S5" s="1" t="s">
        <v>101</v>
      </c>
      <c r="T5" s="1" t="s">
        <v>77</v>
      </c>
      <c r="U5" s="1" t="s">
        <v>76</v>
      </c>
      <c r="V5" s="1" t="s">
        <v>77</v>
      </c>
      <c r="W5" s="1" t="s">
        <v>77</v>
      </c>
      <c r="X5" s="1" t="s">
        <v>75</v>
      </c>
      <c r="Y5" s="1" t="s">
        <v>75</v>
      </c>
      <c r="Z5" s="1" t="s">
        <v>76</v>
      </c>
      <c r="AA5" s="1" t="s">
        <v>76</v>
      </c>
      <c r="AB5" s="1" t="s">
        <v>75</v>
      </c>
      <c r="AC5" s="1" t="s">
        <v>78</v>
      </c>
      <c r="AD5" s="1" t="s">
        <v>78</v>
      </c>
      <c r="AE5" s="1" t="s">
        <v>79</v>
      </c>
      <c r="AF5" s="1" t="s">
        <v>80</v>
      </c>
      <c r="AG5" s="1" t="s">
        <v>81</v>
      </c>
      <c r="AH5" s="1" t="s">
        <v>81</v>
      </c>
      <c r="AI5" s="1" t="s">
        <v>81</v>
      </c>
      <c r="AJ5" s="1" t="s">
        <v>78</v>
      </c>
      <c r="AK5" s="1" t="s">
        <v>84</v>
      </c>
      <c r="AL5" s="1" t="s">
        <v>97</v>
      </c>
      <c r="AM5" s="1" t="s">
        <v>78</v>
      </c>
      <c r="AN5" s="1" t="s">
        <v>78</v>
      </c>
      <c r="AO5" s="1" t="s">
        <v>84</v>
      </c>
      <c r="AP5" s="1" t="s">
        <v>78</v>
      </c>
      <c r="AQ5" s="1" t="s">
        <v>78</v>
      </c>
      <c r="AR5" s="1" t="s">
        <v>78</v>
      </c>
      <c r="AS5" s="1" t="s">
        <v>78</v>
      </c>
      <c r="AT5" s="1" t="s">
        <v>78</v>
      </c>
      <c r="AU5" s="1" t="s">
        <v>84</v>
      </c>
      <c r="AV5" s="1" t="s">
        <v>78</v>
      </c>
      <c r="AX5" s="1" t="s">
        <v>97</v>
      </c>
      <c r="AY5" s="1" t="s">
        <v>78</v>
      </c>
      <c r="AZ5" s="1" t="s">
        <v>78</v>
      </c>
      <c r="BA5" s="1" t="s">
        <v>84</v>
      </c>
      <c r="BB5" s="1" t="s">
        <v>78</v>
      </c>
      <c r="BC5" s="1" t="s">
        <v>78</v>
      </c>
      <c r="BD5" s="1" t="s">
        <v>78</v>
      </c>
      <c r="BE5" s="1" t="s">
        <v>78</v>
      </c>
      <c r="BF5" s="1" t="s">
        <v>78</v>
      </c>
      <c r="BH5" s="1" t="s">
        <v>84</v>
      </c>
      <c r="BI5" s="1"/>
      <c r="BK5" s="1" t="s">
        <v>102</v>
      </c>
    </row>
    <row r="6" spans="1:63" ht="13.2" x14ac:dyDescent="0.25">
      <c r="A6" s="1">
        <v>1</v>
      </c>
      <c r="B6" s="1" t="s">
        <v>89</v>
      </c>
      <c r="C6" s="1" t="s">
        <v>103</v>
      </c>
      <c r="D6" s="1" t="s">
        <v>86</v>
      </c>
      <c r="E6" s="1" t="s">
        <v>67</v>
      </c>
      <c r="F6" s="1">
        <v>3</v>
      </c>
      <c r="G6" s="1" t="s">
        <v>99</v>
      </c>
      <c r="H6" s="1" t="s">
        <v>89</v>
      </c>
      <c r="I6" s="1" t="s">
        <v>104</v>
      </c>
      <c r="J6" s="1" t="s">
        <v>105</v>
      </c>
      <c r="K6" s="3" t="s">
        <v>106</v>
      </c>
      <c r="L6" s="1" t="s">
        <v>72</v>
      </c>
      <c r="M6" s="1" t="s">
        <v>73</v>
      </c>
      <c r="N6" s="1" t="s">
        <v>72</v>
      </c>
      <c r="O6" s="1" t="s">
        <v>101</v>
      </c>
      <c r="P6" s="1" t="s">
        <v>72</v>
      </c>
      <c r="Q6" s="1" t="s">
        <v>92</v>
      </c>
      <c r="R6" s="1" t="s">
        <v>72</v>
      </c>
      <c r="S6" s="1" t="s">
        <v>73</v>
      </c>
      <c r="T6" s="1" t="s">
        <v>94</v>
      </c>
      <c r="U6" s="1" t="s">
        <v>93</v>
      </c>
      <c r="V6" s="1" t="s">
        <v>76</v>
      </c>
      <c r="W6" s="1" t="s">
        <v>94</v>
      </c>
      <c r="X6" s="1" t="s">
        <v>76</v>
      </c>
      <c r="Y6" s="1" t="s">
        <v>75</v>
      </c>
      <c r="Z6" s="1" t="s">
        <v>77</v>
      </c>
      <c r="AA6" s="1" t="s">
        <v>77</v>
      </c>
      <c r="AB6" s="1" t="s">
        <v>76</v>
      </c>
      <c r="AC6" s="1" t="s">
        <v>78</v>
      </c>
      <c r="AD6" s="1" t="s">
        <v>78</v>
      </c>
      <c r="AE6" s="1" t="s">
        <v>95</v>
      </c>
      <c r="AF6" s="1" t="s">
        <v>95</v>
      </c>
      <c r="AG6" s="1" t="s">
        <v>96</v>
      </c>
      <c r="AH6" s="1" t="s">
        <v>96</v>
      </c>
      <c r="AI6" s="1" t="s">
        <v>81</v>
      </c>
      <c r="AJ6" s="1" t="s">
        <v>84</v>
      </c>
      <c r="AK6" s="1" t="s">
        <v>78</v>
      </c>
      <c r="AL6" s="1" t="s">
        <v>78</v>
      </c>
      <c r="AM6" s="1" t="s">
        <v>84</v>
      </c>
      <c r="AN6" s="1" t="s">
        <v>83</v>
      </c>
      <c r="AO6" s="1" t="s">
        <v>84</v>
      </c>
      <c r="AP6" s="1" t="s">
        <v>78</v>
      </c>
      <c r="AQ6" s="1" t="s">
        <v>84</v>
      </c>
      <c r="AR6" s="1" t="s">
        <v>78</v>
      </c>
      <c r="AS6" s="1" t="s">
        <v>78</v>
      </c>
      <c r="AT6" s="1" t="s">
        <v>84</v>
      </c>
      <c r="AU6" s="1" t="s">
        <v>84</v>
      </c>
      <c r="AV6" s="1" t="s">
        <v>78</v>
      </c>
      <c r="AW6" s="1" t="s">
        <v>78</v>
      </c>
      <c r="AX6" s="1" t="s">
        <v>78</v>
      </c>
      <c r="AY6" s="1" t="s">
        <v>84</v>
      </c>
      <c r="AZ6" s="1" t="s">
        <v>78</v>
      </c>
      <c r="BA6" s="1" t="s">
        <v>84</v>
      </c>
      <c r="BB6" s="1" t="s">
        <v>78</v>
      </c>
      <c r="BC6" s="1" t="s">
        <v>84</v>
      </c>
      <c r="BD6" s="1" t="s">
        <v>78</v>
      </c>
      <c r="BE6" s="1" t="s">
        <v>78</v>
      </c>
      <c r="BF6" s="1" t="s">
        <v>78</v>
      </c>
      <c r="BH6" s="1" t="s">
        <v>78</v>
      </c>
      <c r="BI6" s="1"/>
      <c r="BK6" s="1" t="s">
        <v>102</v>
      </c>
    </row>
    <row r="7" spans="1:63" ht="13.2" x14ac:dyDescent="0.25">
      <c r="A7" s="1">
        <v>1</v>
      </c>
      <c r="B7" s="1" t="s">
        <v>107</v>
      </c>
      <c r="C7" s="1" t="s">
        <v>65</v>
      </c>
      <c r="D7" s="1" t="s">
        <v>86</v>
      </c>
      <c r="E7" s="1" t="s">
        <v>67</v>
      </c>
      <c r="F7" s="1">
        <v>1</v>
      </c>
      <c r="G7" s="1" t="s">
        <v>99</v>
      </c>
      <c r="H7" s="1" t="s">
        <v>107</v>
      </c>
      <c r="I7" s="1" t="s">
        <v>108</v>
      </c>
      <c r="J7" s="3" t="s">
        <v>91</v>
      </c>
      <c r="K7" s="3" t="s">
        <v>91</v>
      </c>
      <c r="L7" s="1" t="s">
        <v>73</v>
      </c>
      <c r="M7" s="1" t="s">
        <v>72</v>
      </c>
      <c r="N7" s="1" t="s">
        <v>73</v>
      </c>
      <c r="O7" s="1" t="s">
        <v>101</v>
      </c>
      <c r="P7" s="1" t="s">
        <v>73</v>
      </c>
      <c r="Q7" s="1" t="s">
        <v>74</v>
      </c>
      <c r="R7" s="1" t="s">
        <v>72</v>
      </c>
      <c r="S7" s="1" t="s">
        <v>101</v>
      </c>
      <c r="T7" s="1" t="s">
        <v>77</v>
      </c>
      <c r="U7" s="1" t="s">
        <v>93</v>
      </c>
      <c r="V7" s="1" t="s">
        <v>76</v>
      </c>
      <c r="W7" s="1" t="s">
        <v>94</v>
      </c>
      <c r="X7" s="1" t="s">
        <v>75</v>
      </c>
      <c r="Y7" s="1" t="s">
        <v>75</v>
      </c>
      <c r="Z7" s="1" t="s">
        <v>75</v>
      </c>
      <c r="AA7" s="1" t="s">
        <v>75</v>
      </c>
      <c r="AB7" s="1" t="s">
        <v>76</v>
      </c>
      <c r="AC7" s="1" t="s">
        <v>78</v>
      </c>
      <c r="AD7" s="1" t="s">
        <v>78</v>
      </c>
      <c r="AE7" s="1" t="s">
        <v>95</v>
      </c>
      <c r="AF7" s="1" t="s">
        <v>95</v>
      </c>
      <c r="AG7" s="1" t="s">
        <v>109</v>
      </c>
      <c r="AH7" s="1" t="s">
        <v>82</v>
      </c>
      <c r="AI7" s="1" t="s">
        <v>96</v>
      </c>
      <c r="AJ7" s="1" t="s">
        <v>78</v>
      </c>
      <c r="AK7" s="1" t="s">
        <v>84</v>
      </c>
      <c r="AL7" s="1" t="s">
        <v>84</v>
      </c>
      <c r="AM7" s="1" t="s">
        <v>84</v>
      </c>
      <c r="AN7" s="1" t="s">
        <v>84</v>
      </c>
      <c r="AO7" s="1" t="s">
        <v>84</v>
      </c>
      <c r="AP7" s="1" t="s">
        <v>84</v>
      </c>
      <c r="AQ7" s="1" t="s">
        <v>84</v>
      </c>
      <c r="AR7" s="1" t="s">
        <v>78</v>
      </c>
      <c r="AS7" s="1" t="s">
        <v>78</v>
      </c>
      <c r="AT7" s="1" t="s">
        <v>84</v>
      </c>
      <c r="AU7" s="1" t="s">
        <v>84</v>
      </c>
      <c r="AV7" s="1" t="s">
        <v>78</v>
      </c>
      <c r="AW7" s="1" t="s">
        <v>78</v>
      </c>
      <c r="AX7" s="1" t="s">
        <v>84</v>
      </c>
      <c r="AY7" s="1" t="s">
        <v>84</v>
      </c>
      <c r="AZ7" s="1" t="s">
        <v>84</v>
      </c>
      <c r="BA7" s="1" t="s">
        <v>84</v>
      </c>
      <c r="BB7" s="1" t="s">
        <v>84</v>
      </c>
      <c r="BC7" s="1" t="s">
        <v>84</v>
      </c>
      <c r="BD7" s="1" t="s">
        <v>78</v>
      </c>
      <c r="BE7" s="1" t="s">
        <v>78</v>
      </c>
      <c r="BF7" s="1" t="s">
        <v>84</v>
      </c>
      <c r="BH7" s="1" t="s">
        <v>84</v>
      </c>
      <c r="BK7" s="1">
        <v>0</v>
      </c>
    </row>
    <row r="8" spans="1:63" ht="13.2" x14ac:dyDescent="0.25">
      <c r="A8" s="1">
        <v>1</v>
      </c>
      <c r="B8" s="1" t="s">
        <v>89</v>
      </c>
      <c r="C8" s="1" t="s">
        <v>65</v>
      </c>
      <c r="D8" s="1" t="s">
        <v>86</v>
      </c>
      <c r="E8" s="1" t="s">
        <v>110</v>
      </c>
      <c r="F8" s="1">
        <v>2</v>
      </c>
      <c r="G8" s="1" t="s">
        <v>99</v>
      </c>
      <c r="H8" s="1" t="s">
        <v>107</v>
      </c>
      <c r="I8" s="1" t="s">
        <v>111</v>
      </c>
      <c r="J8" s="3" t="s">
        <v>71</v>
      </c>
      <c r="K8" s="3" t="s">
        <v>71</v>
      </c>
      <c r="L8" s="1" t="s">
        <v>72</v>
      </c>
      <c r="M8" s="1" t="s">
        <v>72</v>
      </c>
      <c r="N8" s="1" t="s">
        <v>72</v>
      </c>
      <c r="O8" s="1" t="s">
        <v>101</v>
      </c>
      <c r="P8" s="1" t="s">
        <v>72</v>
      </c>
      <c r="Q8" s="1" t="s">
        <v>74</v>
      </c>
      <c r="R8" s="1" t="s">
        <v>72</v>
      </c>
      <c r="S8" s="1" t="s">
        <v>92</v>
      </c>
      <c r="T8" s="1" t="s">
        <v>75</v>
      </c>
      <c r="U8" s="1" t="s">
        <v>93</v>
      </c>
      <c r="V8" s="1" t="s">
        <v>93</v>
      </c>
      <c r="W8" s="1" t="s">
        <v>75</v>
      </c>
      <c r="X8" s="1" t="s">
        <v>75</v>
      </c>
      <c r="Y8" s="1" t="s">
        <v>75</v>
      </c>
      <c r="Z8" s="1" t="s">
        <v>94</v>
      </c>
      <c r="AA8" s="1" t="s">
        <v>75</v>
      </c>
      <c r="AB8" s="1" t="s">
        <v>75</v>
      </c>
      <c r="AC8" s="1" t="s">
        <v>78</v>
      </c>
      <c r="AD8" s="1" t="s">
        <v>78</v>
      </c>
      <c r="AE8" s="1" t="s">
        <v>95</v>
      </c>
      <c r="AF8" s="1" t="s">
        <v>80</v>
      </c>
      <c r="AG8" s="1" t="s">
        <v>112</v>
      </c>
      <c r="AH8" s="1" t="s">
        <v>112</v>
      </c>
      <c r="AI8" s="1" t="s">
        <v>112</v>
      </c>
      <c r="AJ8" s="1" t="s">
        <v>84</v>
      </c>
      <c r="AK8" s="1" t="s">
        <v>84</v>
      </c>
      <c r="AL8" s="1" t="s">
        <v>78</v>
      </c>
      <c r="AM8" s="1" t="s">
        <v>84</v>
      </c>
      <c r="AN8" s="1" t="s">
        <v>84</v>
      </c>
      <c r="AO8" s="1" t="s">
        <v>84</v>
      </c>
      <c r="AP8" s="1" t="s">
        <v>78</v>
      </c>
      <c r="AQ8" s="1" t="s">
        <v>84</v>
      </c>
      <c r="AR8" s="1" t="s">
        <v>78</v>
      </c>
      <c r="AS8" s="1" t="s">
        <v>78</v>
      </c>
      <c r="AT8" s="1" t="s">
        <v>78</v>
      </c>
      <c r="AU8" s="1" t="s">
        <v>78</v>
      </c>
      <c r="AV8" s="1" t="s">
        <v>78</v>
      </c>
      <c r="AW8" s="1" t="s">
        <v>84</v>
      </c>
      <c r="AX8" s="1" t="s">
        <v>78</v>
      </c>
      <c r="AY8" s="1" t="s">
        <v>84</v>
      </c>
      <c r="AZ8" s="1" t="s">
        <v>84</v>
      </c>
      <c r="BA8" s="1" t="s">
        <v>78</v>
      </c>
      <c r="BB8" s="1" t="s">
        <v>78</v>
      </c>
      <c r="BC8" s="1" t="s">
        <v>84</v>
      </c>
      <c r="BD8" s="1" t="s">
        <v>84</v>
      </c>
      <c r="BE8" s="1" t="s">
        <v>84</v>
      </c>
      <c r="BF8" s="1" t="s">
        <v>84</v>
      </c>
      <c r="BH8" s="1" t="s">
        <v>84</v>
      </c>
      <c r="BK8" s="1">
        <v>0</v>
      </c>
    </row>
    <row r="9" spans="1:63" ht="13.2" x14ac:dyDescent="0.25">
      <c r="A9" s="1">
        <v>1</v>
      </c>
      <c r="B9" s="1" t="s">
        <v>64</v>
      </c>
      <c r="C9" s="1" t="s">
        <v>65</v>
      </c>
      <c r="D9" s="1" t="s">
        <v>86</v>
      </c>
      <c r="E9" s="1" t="s">
        <v>110</v>
      </c>
      <c r="F9" s="1">
        <v>1</v>
      </c>
      <c r="G9" s="1" t="s">
        <v>88</v>
      </c>
      <c r="H9" s="1" t="s">
        <v>69</v>
      </c>
      <c r="I9" s="1" t="s">
        <v>108</v>
      </c>
      <c r="J9" s="1" t="s">
        <v>105</v>
      </c>
      <c r="K9" s="1" t="s">
        <v>105</v>
      </c>
      <c r="L9" s="1" t="s">
        <v>72</v>
      </c>
      <c r="M9" s="1" t="s">
        <v>72</v>
      </c>
      <c r="N9" s="1" t="s">
        <v>72</v>
      </c>
      <c r="O9" s="1" t="s">
        <v>74</v>
      </c>
      <c r="P9" s="1" t="s">
        <v>101</v>
      </c>
      <c r="Q9" s="1" t="s">
        <v>92</v>
      </c>
      <c r="R9" s="1" t="s">
        <v>72</v>
      </c>
      <c r="S9" s="1" t="s">
        <v>72</v>
      </c>
      <c r="T9" s="1" t="s">
        <v>93</v>
      </c>
      <c r="U9" s="1" t="s">
        <v>75</v>
      </c>
      <c r="V9" s="1" t="s">
        <v>93</v>
      </c>
      <c r="W9" s="1" t="s">
        <v>75</v>
      </c>
      <c r="X9" s="1" t="s">
        <v>75</v>
      </c>
      <c r="Y9" s="1" t="s">
        <v>75</v>
      </c>
      <c r="Z9" s="1" t="s">
        <v>75</v>
      </c>
      <c r="AA9" s="1" t="s">
        <v>75</v>
      </c>
      <c r="AB9" s="1" t="s">
        <v>93</v>
      </c>
      <c r="AC9" s="1" t="s">
        <v>78</v>
      </c>
      <c r="AD9" s="1" t="s">
        <v>78</v>
      </c>
      <c r="AE9" s="1" t="s">
        <v>95</v>
      </c>
      <c r="AF9" s="1" t="s">
        <v>79</v>
      </c>
      <c r="AG9" s="1" t="s">
        <v>112</v>
      </c>
      <c r="AH9" s="1" t="s">
        <v>112</v>
      </c>
      <c r="AI9" s="1" t="s">
        <v>112</v>
      </c>
      <c r="AJ9" s="1" t="s">
        <v>84</v>
      </c>
      <c r="AK9" s="1" t="s">
        <v>97</v>
      </c>
      <c r="AL9" s="1" t="s">
        <v>97</v>
      </c>
      <c r="AM9" s="1" t="s">
        <v>97</v>
      </c>
      <c r="AN9" s="1" t="s">
        <v>97</v>
      </c>
      <c r="AO9" s="1" t="s">
        <v>97</v>
      </c>
      <c r="AP9" s="1" t="s">
        <v>83</v>
      </c>
      <c r="AQ9" s="1" t="s">
        <v>97</v>
      </c>
      <c r="AR9" s="1" t="s">
        <v>84</v>
      </c>
      <c r="AS9" s="1" t="s">
        <v>78</v>
      </c>
      <c r="AT9" s="1" t="s">
        <v>97</v>
      </c>
      <c r="AU9" s="1" t="s">
        <v>97</v>
      </c>
      <c r="AV9" s="1" t="s">
        <v>97</v>
      </c>
      <c r="AW9" s="1" t="s">
        <v>97</v>
      </c>
      <c r="AX9" s="1" t="s">
        <v>97</v>
      </c>
      <c r="AY9" s="1" t="s">
        <v>97</v>
      </c>
      <c r="AZ9" s="1" t="s">
        <v>97</v>
      </c>
      <c r="BA9" s="1" t="s">
        <v>97</v>
      </c>
      <c r="BB9" s="1" t="s">
        <v>83</v>
      </c>
      <c r="BC9" s="1" t="s">
        <v>97</v>
      </c>
      <c r="BD9" s="1" t="s">
        <v>97</v>
      </c>
      <c r="BE9" s="1" t="s">
        <v>78</v>
      </c>
      <c r="BF9" s="1" t="s">
        <v>97</v>
      </c>
      <c r="BH9" s="1" t="s">
        <v>97</v>
      </c>
      <c r="BK9" s="1">
        <v>0</v>
      </c>
    </row>
    <row r="10" spans="1:63" ht="13.2" x14ac:dyDescent="0.25">
      <c r="A10" s="1">
        <v>1</v>
      </c>
      <c r="B10" s="1" t="s">
        <v>64</v>
      </c>
      <c r="C10" s="1" t="s">
        <v>65</v>
      </c>
      <c r="D10" s="1" t="s">
        <v>86</v>
      </c>
      <c r="E10" s="1" t="s">
        <v>67</v>
      </c>
      <c r="F10" s="1">
        <v>2</v>
      </c>
      <c r="G10" s="1" t="s">
        <v>99</v>
      </c>
      <c r="H10" s="1" t="s">
        <v>113</v>
      </c>
      <c r="I10" s="1" t="s">
        <v>114</v>
      </c>
      <c r="J10" s="3" t="s">
        <v>71</v>
      </c>
      <c r="K10" s="3" t="s">
        <v>71</v>
      </c>
      <c r="L10" s="1" t="s">
        <v>72</v>
      </c>
      <c r="M10" s="1" t="s">
        <v>73</v>
      </c>
      <c r="N10" s="1" t="s">
        <v>73</v>
      </c>
      <c r="O10" s="1" t="s">
        <v>101</v>
      </c>
      <c r="P10" s="1" t="s">
        <v>101</v>
      </c>
      <c r="Q10" s="1" t="s">
        <v>74</v>
      </c>
      <c r="R10" s="1" t="s">
        <v>72</v>
      </c>
      <c r="S10" s="1" t="s">
        <v>73</v>
      </c>
      <c r="T10" s="1" t="s">
        <v>77</v>
      </c>
      <c r="U10" s="1" t="s">
        <v>75</v>
      </c>
      <c r="V10" s="1" t="s">
        <v>77</v>
      </c>
      <c r="W10" s="1" t="s">
        <v>75</v>
      </c>
      <c r="X10" s="1" t="s">
        <v>75</v>
      </c>
      <c r="Y10" s="1" t="s">
        <v>75</v>
      </c>
      <c r="Z10" s="1" t="s">
        <v>75</v>
      </c>
      <c r="AA10" s="1" t="s">
        <v>75</v>
      </c>
      <c r="AB10" s="1" t="s">
        <v>75</v>
      </c>
      <c r="AC10" s="1" t="s">
        <v>78</v>
      </c>
      <c r="AD10" s="1" t="s">
        <v>78</v>
      </c>
      <c r="AE10" s="1" t="s">
        <v>79</v>
      </c>
      <c r="AF10" s="1" t="s">
        <v>79</v>
      </c>
      <c r="AG10" s="1" t="s">
        <v>112</v>
      </c>
      <c r="AH10" s="1" t="s">
        <v>112</v>
      </c>
      <c r="AI10" s="1" t="s">
        <v>112</v>
      </c>
      <c r="AJ10" s="1" t="s">
        <v>78</v>
      </c>
      <c r="AK10" s="1" t="s">
        <v>84</v>
      </c>
      <c r="AL10" s="1" t="s">
        <v>78</v>
      </c>
      <c r="AM10" s="1" t="s">
        <v>84</v>
      </c>
      <c r="AN10" s="1" t="s">
        <v>78</v>
      </c>
      <c r="AO10" s="1" t="s">
        <v>84</v>
      </c>
      <c r="AP10" s="1" t="s">
        <v>78</v>
      </c>
      <c r="AQ10" s="1" t="s">
        <v>84</v>
      </c>
      <c r="AR10" s="1" t="s">
        <v>84</v>
      </c>
      <c r="AS10" s="1" t="s">
        <v>78</v>
      </c>
      <c r="AT10" s="1" t="s">
        <v>78</v>
      </c>
      <c r="AU10" s="1" t="s">
        <v>84</v>
      </c>
      <c r="AV10" s="1" t="s">
        <v>78</v>
      </c>
      <c r="AW10" s="1" t="s">
        <v>78</v>
      </c>
      <c r="AX10" s="1" t="s">
        <v>84</v>
      </c>
      <c r="AY10" s="1" t="s">
        <v>84</v>
      </c>
      <c r="AZ10" s="1" t="s">
        <v>78</v>
      </c>
      <c r="BA10" s="1" t="s">
        <v>78</v>
      </c>
      <c r="BB10" s="1" t="s">
        <v>84</v>
      </c>
      <c r="BC10" s="1" t="s">
        <v>84</v>
      </c>
      <c r="BD10" s="1" t="s">
        <v>84</v>
      </c>
      <c r="BE10" s="1" t="s">
        <v>84</v>
      </c>
      <c r="BF10" s="1" t="s">
        <v>84</v>
      </c>
      <c r="BH10" s="1" t="s">
        <v>84</v>
      </c>
      <c r="BI10" s="1"/>
      <c r="BK10" s="1" t="s">
        <v>115</v>
      </c>
    </row>
    <row r="11" spans="1:63" ht="13.2" x14ac:dyDescent="0.25">
      <c r="A11" s="1">
        <v>1</v>
      </c>
      <c r="B11" s="1" t="s">
        <v>89</v>
      </c>
      <c r="C11" s="1" t="s">
        <v>65</v>
      </c>
      <c r="D11" s="1" t="s">
        <v>86</v>
      </c>
      <c r="E11" s="1" t="s">
        <v>67</v>
      </c>
      <c r="F11" s="1">
        <v>4</v>
      </c>
      <c r="G11" s="1" t="s">
        <v>68</v>
      </c>
      <c r="H11" s="1" t="s">
        <v>89</v>
      </c>
      <c r="I11" s="1" t="s">
        <v>116</v>
      </c>
      <c r="J11" s="3" t="s">
        <v>91</v>
      </c>
      <c r="K11" s="3" t="s">
        <v>91</v>
      </c>
      <c r="L11" s="1" t="s">
        <v>72</v>
      </c>
      <c r="M11" s="1" t="s">
        <v>72</v>
      </c>
      <c r="N11" s="1" t="s">
        <v>72</v>
      </c>
      <c r="O11" s="1" t="s">
        <v>73</v>
      </c>
      <c r="P11" s="1" t="s">
        <v>72</v>
      </c>
      <c r="Q11" s="1" t="s">
        <v>92</v>
      </c>
      <c r="R11" s="1" t="s">
        <v>72</v>
      </c>
      <c r="S11" s="1" t="s">
        <v>72</v>
      </c>
      <c r="T11" s="1" t="s">
        <v>76</v>
      </c>
      <c r="U11" s="1" t="s">
        <v>77</v>
      </c>
      <c r="V11" s="1" t="s">
        <v>76</v>
      </c>
      <c r="W11" s="1" t="s">
        <v>76</v>
      </c>
      <c r="X11" s="1" t="s">
        <v>77</v>
      </c>
      <c r="Y11" s="1" t="s">
        <v>77</v>
      </c>
      <c r="Z11" s="1" t="s">
        <v>77</v>
      </c>
      <c r="AA11" s="1" t="s">
        <v>94</v>
      </c>
      <c r="AB11" s="1" t="s">
        <v>76</v>
      </c>
      <c r="AC11" s="1" t="s">
        <v>78</v>
      </c>
      <c r="AD11" s="1" t="s">
        <v>78</v>
      </c>
      <c r="AE11" s="1" t="s">
        <v>95</v>
      </c>
      <c r="AF11" s="1" t="s">
        <v>80</v>
      </c>
      <c r="AG11" s="1" t="s">
        <v>82</v>
      </c>
      <c r="AH11" s="1" t="s">
        <v>82</v>
      </c>
      <c r="AI11" s="1" t="s">
        <v>109</v>
      </c>
      <c r="AJ11" s="1" t="s">
        <v>78</v>
      </c>
      <c r="AK11" s="1" t="s">
        <v>78</v>
      </c>
      <c r="AL11" s="1" t="s">
        <v>78</v>
      </c>
      <c r="AM11" s="1" t="s">
        <v>83</v>
      </c>
      <c r="AN11" s="1" t="s">
        <v>78</v>
      </c>
      <c r="AO11" s="1" t="s">
        <v>84</v>
      </c>
      <c r="AP11" s="1" t="s">
        <v>78</v>
      </c>
      <c r="AQ11" s="1" t="s">
        <v>84</v>
      </c>
      <c r="AR11" s="1" t="s">
        <v>78</v>
      </c>
      <c r="AS11" s="1" t="s">
        <v>78</v>
      </c>
      <c r="AT11" s="1" t="s">
        <v>78</v>
      </c>
      <c r="AU11" s="1" t="s">
        <v>83</v>
      </c>
      <c r="AV11" s="1" t="s">
        <v>78</v>
      </c>
      <c r="AW11" s="1" t="s">
        <v>83</v>
      </c>
      <c r="AX11" s="1" t="s">
        <v>83</v>
      </c>
      <c r="AY11" s="1" t="s">
        <v>83</v>
      </c>
      <c r="AZ11" s="1" t="s">
        <v>78</v>
      </c>
      <c r="BA11" s="1" t="s">
        <v>83</v>
      </c>
      <c r="BB11" s="1" t="s">
        <v>78</v>
      </c>
      <c r="BC11" s="1" t="s">
        <v>83</v>
      </c>
      <c r="BD11" s="1" t="s">
        <v>78</v>
      </c>
      <c r="BE11" s="1" t="s">
        <v>78</v>
      </c>
      <c r="BF11" s="1" t="s">
        <v>78</v>
      </c>
      <c r="BH11" s="1" t="s">
        <v>83</v>
      </c>
      <c r="BI11" s="1"/>
      <c r="BK11" s="1" t="s">
        <v>117</v>
      </c>
    </row>
    <row r="12" spans="1:63" ht="13.2" x14ac:dyDescent="0.25">
      <c r="A12" s="1">
        <v>1</v>
      </c>
      <c r="B12" s="1" t="s">
        <v>107</v>
      </c>
      <c r="C12" s="1" t="s">
        <v>65</v>
      </c>
      <c r="D12" s="1" t="s">
        <v>66</v>
      </c>
      <c r="E12" s="1" t="s">
        <v>67</v>
      </c>
      <c r="F12" s="1">
        <v>2</v>
      </c>
      <c r="G12" s="1" t="s">
        <v>99</v>
      </c>
      <c r="H12" s="1" t="s">
        <v>118</v>
      </c>
      <c r="I12" s="1" t="s">
        <v>119</v>
      </c>
      <c r="J12" s="3" t="s">
        <v>71</v>
      </c>
      <c r="K12" s="3" t="s">
        <v>71</v>
      </c>
      <c r="L12" s="1" t="s">
        <v>73</v>
      </c>
      <c r="M12" s="1" t="s">
        <v>73</v>
      </c>
      <c r="N12" s="1" t="s">
        <v>72</v>
      </c>
      <c r="O12" s="1" t="s">
        <v>72</v>
      </c>
      <c r="P12" s="1" t="s">
        <v>72</v>
      </c>
      <c r="Q12" s="1" t="s">
        <v>92</v>
      </c>
      <c r="R12" s="1" t="s">
        <v>73</v>
      </c>
      <c r="S12" s="1" t="s">
        <v>101</v>
      </c>
      <c r="T12" s="1" t="s">
        <v>94</v>
      </c>
      <c r="U12" s="1" t="s">
        <v>93</v>
      </c>
      <c r="V12" s="1" t="s">
        <v>93</v>
      </c>
      <c r="W12" s="1" t="s">
        <v>75</v>
      </c>
      <c r="X12" s="1" t="s">
        <v>75</v>
      </c>
      <c r="Y12" s="1" t="s">
        <v>75</v>
      </c>
      <c r="Z12" s="1" t="s">
        <v>77</v>
      </c>
      <c r="AA12" s="1" t="s">
        <v>94</v>
      </c>
      <c r="AB12" s="1" t="s">
        <v>75</v>
      </c>
      <c r="AC12" s="1" t="s">
        <v>78</v>
      </c>
      <c r="AD12" s="1" t="s">
        <v>78</v>
      </c>
      <c r="AE12" s="1" t="s">
        <v>120</v>
      </c>
      <c r="AF12" s="1" t="s">
        <v>80</v>
      </c>
      <c r="AG12" s="1" t="s">
        <v>82</v>
      </c>
      <c r="AH12" s="1" t="s">
        <v>82</v>
      </c>
      <c r="AI12" s="1" t="s">
        <v>96</v>
      </c>
      <c r="AJ12" s="1" t="s">
        <v>84</v>
      </c>
      <c r="AK12" s="1" t="s">
        <v>84</v>
      </c>
      <c r="AL12" s="1" t="s">
        <v>84</v>
      </c>
      <c r="AM12" s="1" t="s">
        <v>84</v>
      </c>
      <c r="AN12" s="1" t="s">
        <v>84</v>
      </c>
      <c r="AO12" s="1" t="s">
        <v>84</v>
      </c>
      <c r="AP12" s="1" t="s">
        <v>84</v>
      </c>
      <c r="AQ12" s="1" t="s">
        <v>84</v>
      </c>
      <c r="AR12" s="1" t="s">
        <v>84</v>
      </c>
      <c r="AS12" s="1" t="s">
        <v>84</v>
      </c>
      <c r="AT12" s="1" t="s">
        <v>84</v>
      </c>
      <c r="AU12" s="1" t="s">
        <v>84</v>
      </c>
      <c r="AV12" s="1" t="s">
        <v>84</v>
      </c>
      <c r="AW12" s="1" t="s">
        <v>84</v>
      </c>
      <c r="AX12" s="1" t="s">
        <v>84</v>
      </c>
      <c r="AY12" s="1" t="s">
        <v>84</v>
      </c>
      <c r="AZ12" s="1" t="s">
        <v>84</v>
      </c>
      <c r="BA12" s="1" t="s">
        <v>84</v>
      </c>
      <c r="BB12" s="1" t="s">
        <v>84</v>
      </c>
      <c r="BC12" s="1" t="s">
        <v>84</v>
      </c>
      <c r="BD12" s="1" t="s">
        <v>84</v>
      </c>
      <c r="BE12" s="1" t="s">
        <v>84</v>
      </c>
      <c r="BF12" s="1" t="s">
        <v>84</v>
      </c>
      <c r="BH12" s="1" t="s">
        <v>84</v>
      </c>
      <c r="BK12" s="1">
        <v>0</v>
      </c>
    </row>
    <row r="13" spans="1:63" ht="13.2" x14ac:dyDescent="0.25">
      <c r="A13" s="1" t="s">
        <v>121</v>
      </c>
      <c r="B13" s="1" t="s">
        <v>89</v>
      </c>
      <c r="C13" s="1" t="s">
        <v>65</v>
      </c>
      <c r="D13" s="1" t="s">
        <v>86</v>
      </c>
      <c r="E13" s="1" t="s">
        <v>67</v>
      </c>
      <c r="F13" s="1">
        <v>1</v>
      </c>
      <c r="G13" s="1" t="s">
        <v>99</v>
      </c>
      <c r="H13" s="1" t="s">
        <v>89</v>
      </c>
      <c r="I13" s="1" t="s">
        <v>122</v>
      </c>
      <c r="J13" s="3" t="s">
        <v>91</v>
      </c>
      <c r="K13" s="1" t="s">
        <v>105</v>
      </c>
      <c r="L13" s="1" t="s">
        <v>72</v>
      </c>
      <c r="M13" s="1" t="s">
        <v>72</v>
      </c>
      <c r="N13" s="1" t="s">
        <v>72</v>
      </c>
      <c r="O13" s="1" t="s">
        <v>73</v>
      </c>
      <c r="P13" s="1" t="s">
        <v>72</v>
      </c>
      <c r="Q13" s="1" t="s">
        <v>73</v>
      </c>
      <c r="R13" s="1" t="s">
        <v>72</v>
      </c>
      <c r="S13" s="1" t="s">
        <v>72</v>
      </c>
      <c r="T13" s="1" t="s">
        <v>94</v>
      </c>
      <c r="U13" s="1" t="s">
        <v>76</v>
      </c>
      <c r="V13" s="1" t="s">
        <v>76</v>
      </c>
      <c r="W13" s="1" t="s">
        <v>75</v>
      </c>
      <c r="X13" s="1" t="s">
        <v>75</v>
      </c>
      <c r="Y13" s="1" t="s">
        <v>75</v>
      </c>
      <c r="Z13" s="1" t="s">
        <v>75</v>
      </c>
      <c r="AA13" s="1" t="s">
        <v>75</v>
      </c>
      <c r="AB13" s="1" t="s">
        <v>75</v>
      </c>
      <c r="AC13" s="1" t="s">
        <v>78</v>
      </c>
      <c r="AD13" s="1" t="s">
        <v>78</v>
      </c>
      <c r="AE13" s="1" t="s">
        <v>80</v>
      </c>
      <c r="AF13" s="1" t="s">
        <v>80</v>
      </c>
      <c r="AG13" s="1" t="s">
        <v>82</v>
      </c>
      <c r="AH13" s="1" t="s">
        <v>82</v>
      </c>
      <c r="AI13" s="1" t="s">
        <v>81</v>
      </c>
      <c r="AJ13" s="1" t="s">
        <v>84</v>
      </c>
      <c r="AK13" s="1" t="s">
        <v>97</v>
      </c>
      <c r="AL13" s="1" t="s">
        <v>97</v>
      </c>
      <c r="AM13" s="1" t="s">
        <v>97</v>
      </c>
      <c r="AN13" s="1" t="s">
        <v>97</v>
      </c>
      <c r="AO13" s="1" t="s">
        <v>97</v>
      </c>
      <c r="AP13" s="1" t="s">
        <v>97</v>
      </c>
      <c r="AQ13" s="1" t="s">
        <v>97</v>
      </c>
      <c r="AR13" s="1" t="s">
        <v>97</v>
      </c>
      <c r="AS13" s="1" t="s">
        <v>78</v>
      </c>
      <c r="AT13" s="1" t="s">
        <v>97</v>
      </c>
      <c r="AU13" s="1" t="s">
        <v>97</v>
      </c>
      <c r="AV13" s="1" t="s">
        <v>84</v>
      </c>
      <c r="AW13" s="1" t="s">
        <v>97</v>
      </c>
      <c r="AX13" s="1" t="s">
        <v>97</v>
      </c>
      <c r="AY13" s="1" t="s">
        <v>97</v>
      </c>
      <c r="AZ13" s="1" t="s">
        <v>97</v>
      </c>
      <c r="BA13" s="1" t="s">
        <v>97</v>
      </c>
      <c r="BB13" s="1" t="s">
        <v>97</v>
      </c>
      <c r="BC13" s="1" t="s">
        <v>97</v>
      </c>
      <c r="BD13" s="1" t="s">
        <v>97</v>
      </c>
      <c r="BE13" s="1" t="s">
        <v>78</v>
      </c>
      <c r="BF13" s="1" t="s">
        <v>97</v>
      </c>
      <c r="BH13" s="1" t="s">
        <v>97</v>
      </c>
      <c r="BI13" s="1"/>
      <c r="BK13" s="1" t="s">
        <v>123</v>
      </c>
    </row>
    <row r="14" spans="1:63" ht="13.2" x14ac:dyDescent="0.25">
      <c r="A14" s="1" t="s">
        <v>121</v>
      </c>
      <c r="B14" s="1" t="s">
        <v>113</v>
      </c>
      <c r="C14" s="1" t="s">
        <v>65</v>
      </c>
      <c r="D14" s="1" t="s">
        <v>86</v>
      </c>
      <c r="E14" s="1" t="s">
        <v>67</v>
      </c>
      <c r="F14" s="1">
        <v>3</v>
      </c>
      <c r="G14" s="1" t="s">
        <v>99</v>
      </c>
      <c r="H14" s="1" t="s">
        <v>113</v>
      </c>
      <c r="I14" s="1" t="s">
        <v>70</v>
      </c>
      <c r="J14" s="3" t="s">
        <v>91</v>
      </c>
      <c r="K14" s="3" t="s">
        <v>91</v>
      </c>
      <c r="L14" s="1" t="s">
        <v>72</v>
      </c>
      <c r="M14" s="1" t="s">
        <v>73</v>
      </c>
      <c r="N14" s="1" t="s">
        <v>73</v>
      </c>
      <c r="O14" s="1" t="s">
        <v>72</v>
      </c>
      <c r="P14" s="1" t="s">
        <v>72</v>
      </c>
      <c r="Q14" s="1" t="s">
        <v>92</v>
      </c>
      <c r="R14" s="1" t="s">
        <v>101</v>
      </c>
      <c r="S14" s="1" t="s">
        <v>101</v>
      </c>
      <c r="T14" s="1" t="s">
        <v>77</v>
      </c>
      <c r="U14" s="1" t="s">
        <v>76</v>
      </c>
      <c r="V14" s="1" t="s">
        <v>93</v>
      </c>
      <c r="W14" s="1" t="s">
        <v>77</v>
      </c>
      <c r="X14" s="1" t="s">
        <v>77</v>
      </c>
      <c r="Y14" s="1" t="s">
        <v>77</v>
      </c>
      <c r="Z14" s="1" t="s">
        <v>77</v>
      </c>
      <c r="AA14" s="1" t="s">
        <v>75</v>
      </c>
      <c r="AB14" s="1" t="s">
        <v>75</v>
      </c>
      <c r="AC14" s="1" t="s">
        <v>78</v>
      </c>
      <c r="AD14" s="1" t="s">
        <v>78</v>
      </c>
      <c r="AE14" s="1" t="s">
        <v>79</v>
      </c>
      <c r="AF14" s="1" t="s">
        <v>80</v>
      </c>
      <c r="AG14" s="1" t="s">
        <v>112</v>
      </c>
      <c r="AH14" s="1" t="s">
        <v>112</v>
      </c>
      <c r="AI14" s="1" t="s">
        <v>81</v>
      </c>
      <c r="AJ14" s="1" t="s">
        <v>84</v>
      </c>
      <c r="AK14" s="1" t="s">
        <v>84</v>
      </c>
      <c r="AL14" s="1" t="s">
        <v>84</v>
      </c>
      <c r="AM14" s="1" t="s">
        <v>84</v>
      </c>
      <c r="AN14" s="1" t="s">
        <v>84</v>
      </c>
      <c r="AO14" s="1" t="s">
        <v>84</v>
      </c>
      <c r="AP14" s="1" t="s">
        <v>84</v>
      </c>
      <c r="AQ14" s="1" t="s">
        <v>84</v>
      </c>
      <c r="AR14" s="1" t="s">
        <v>97</v>
      </c>
      <c r="AS14" s="1" t="s">
        <v>78</v>
      </c>
      <c r="AT14" s="1" t="s">
        <v>84</v>
      </c>
      <c r="AU14" s="1" t="s">
        <v>78</v>
      </c>
      <c r="AV14" s="1" t="s">
        <v>84</v>
      </c>
      <c r="AW14" s="1" t="s">
        <v>84</v>
      </c>
      <c r="AX14" s="1" t="s">
        <v>84</v>
      </c>
      <c r="AY14" s="1" t="s">
        <v>84</v>
      </c>
      <c r="AZ14" s="1" t="s">
        <v>84</v>
      </c>
      <c r="BA14" s="1" t="s">
        <v>84</v>
      </c>
      <c r="BB14" s="1" t="s">
        <v>84</v>
      </c>
      <c r="BC14" s="1" t="s">
        <v>84</v>
      </c>
      <c r="BD14" s="1" t="s">
        <v>97</v>
      </c>
      <c r="BE14" s="1" t="s">
        <v>78</v>
      </c>
      <c r="BF14" s="1" t="s">
        <v>84</v>
      </c>
      <c r="BH14" s="1" t="s">
        <v>78</v>
      </c>
      <c r="BK14" s="1">
        <v>0</v>
      </c>
    </row>
    <row r="15" spans="1:63" ht="13.2" x14ac:dyDescent="0.25">
      <c r="A15" s="1" t="s">
        <v>121</v>
      </c>
      <c r="B15" s="1" t="s">
        <v>69</v>
      </c>
      <c r="C15" s="1" t="s">
        <v>124</v>
      </c>
      <c r="D15" s="1" t="s">
        <v>86</v>
      </c>
      <c r="E15" s="1" t="s">
        <v>67</v>
      </c>
      <c r="F15" s="1">
        <v>2</v>
      </c>
      <c r="G15" s="1" t="s">
        <v>99</v>
      </c>
      <c r="H15" s="1" t="s">
        <v>89</v>
      </c>
      <c r="I15" s="1" t="s">
        <v>70</v>
      </c>
      <c r="J15" s="3" t="s">
        <v>91</v>
      </c>
      <c r="K15" s="3" t="s">
        <v>91</v>
      </c>
      <c r="L15" s="1" t="s">
        <v>72</v>
      </c>
      <c r="M15" s="1" t="s">
        <v>73</v>
      </c>
      <c r="N15" s="1" t="s">
        <v>73</v>
      </c>
      <c r="O15" s="1" t="s">
        <v>73</v>
      </c>
      <c r="P15" s="1" t="s">
        <v>73</v>
      </c>
      <c r="Q15" s="1" t="s">
        <v>73</v>
      </c>
      <c r="R15" s="1" t="s">
        <v>72</v>
      </c>
      <c r="S15" s="1" t="s">
        <v>72</v>
      </c>
      <c r="T15" s="1" t="s">
        <v>76</v>
      </c>
      <c r="U15" s="1" t="s">
        <v>76</v>
      </c>
      <c r="V15" s="1" t="s">
        <v>76</v>
      </c>
      <c r="W15" s="1" t="s">
        <v>77</v>
      </c>
      <c r="X15" s="1" t="s">
        <v>75</v>
      </c>
      <c r="Y15" s="1" t="s">
        <v>75</v>
      </c>
      <c r="Z15" s="1" t="s">
        <v>77</v>
      </c>
      <c r="AA15" s="1" t="s">
        <v>75</v>
      </c>
      <c r="AB15" s="1" t="s">
        <v>75</v>
      </c>
      <c r="AC15" s="1" t="s">
        <v>78</v>
      </c>
      <c r="AD15" s="1" t="s">
        <v>78</v>
      </c>
      <c r="AE15" s="1" t="s">
        <v>79</v>
      </c>
      <c r="AF15" s="1" t="s">
        <v>120</v>
      </c>
      <c r="AG15" s="1" t="s">
        <v>81</v>
      </c>
      <c r="AH15" s="1" t="s">
        <v>112</v>
      </c>
      <c r="AI15" s="1" t="s">
        <v>96</v>
      </c>
      <c r="AJ15" s="1" t="s">
        <v>84</v>
      </c>
      <c r="AK15" s="1" t="s">
        <v>78</v>
      </c>
      <c r="AL15" s="1" t="s">
        <v>97</v>
      </c>
      <c r="AM15" s="1" t="s">
        <v>84</v>
      </c>
      <c r="AN15" s="1" t="s">
        <v>84</v>
      </c>
      <c r="AO15" s="1" t="s">
        <v>84</v>
      </c>
      <c r="AP15" s="1" t="s">
        <v>97</v>
      </c>
      <c r="AQ15" s="1" t="s">
        <v>84</v>
      </c>
      <c r="AR15" s="1" t="s">
        <v>97</v>
      </c>
      <c r="AS15" s="1" t="s">
        <v>84</v>
      </c>
      <c r="AT15" s="1" t="s">
        <v>97</v>
      </c>
      <c r="AU15" s="1" t="s">
        <v>84</v>
      </c>
      <c r="AV15" s="1" t="s">
        <v>84</v>
      </c>
      <c r="AW15" s="1" t="s">
        <v>78</v>
      </c>
      <c r="AX15" s="1" t="s">
        <v>97</v>
      </c>
      <c r="AY15" s="1" t="s">
        <v>84</v>
      </c>
      <c r="AZ15" s="1" t="s">
        <v>84</v>
      </c>
      <c r="BA15" s="1" t="s">
        <v>84</v>
      </c>
      <c r="BB15" s="1" t="s">
        <v>97</v>
      </c>
      <c r="BC15" s="1" t="s">
        <v>84</v>
      </c>
      <c r="BD15" s="1" t="s">
        <v>97</v>
      </c>
      <c r="BE15" s="1" t="s">
        <v>84</v>
      </c>
      <c r="BF15" s="1" t="s">
        <v>97</v>
      </c>
      <c r="BH15" s="1" t="s">
        <v>84</v>
      </c>
      <c r="BI15" s="1"/>
      <c r="BK15" s="1" t="s">
        <v>125</v>
      </c>
    </row>
    <row r="16" spans="1:63" ht="13.2" x14ac:dyDescent="0.25">
      <c r="A16" s="1" t="s">
        <v>121</v>
      </c>
      <c r="B16" s="1" t="s">
        <v>89</v>
      </c>
      <c r="C16" s="1" t="s">
        <v>65</v>
      </c>
      <c r="D16" s="1" t="s">
        <v>86</v>
      </c>
      <c r="E16" s="1" t="s">
        <v>67</v>
      </c>
      <c r="F16" s="1">
        <v>2</v>
      </c>
      <c r="G16" s="1" t="s">
        <v>99</v>
      </c>
      <c r="H16" s="1" t="s">
        <v>107</v>
      </c>
      <c r="I16" s="1" t="s">
        <v>126</v>
      </c>
      <c r="J16" s="3" t="s">
        <v>71</v>
      </c>
      <c r="K16" s="3" t="s">
        <v>71</v>
      </c>
      <c r="L16" s="1" t="s">
        <v>72</v>
      </c>
      <c r="M16" s="1" t="s">
        <v>72</v>
      </c>
      <c r="N16" s="1" t="s">
        <v>72</v>
      </c>
      <c r="O16" s="1" t="s">
        <v>72</v>
      </c>
      <c r="P16" s="1" t="s">
        <v>72</v>
      </c>
      <c r="Q16" s="1" t="s">
        <v>101</v>
      </c>
      <c r="R16" s="1" t="s">
        <v>72</v>
      </c>
      <c r="S16" s="1" t="s">
        <v>101</v>
      </c>
      <c r="T16" s="1" t="s">
        <v>94</v>
      </c>
      <c r="U16" s="1" t="s">
        <v>77</v>
      </c>
      <c r="V16" s="1" t="s">
        <v>75</v>
      </c>
      <c r="W16" s="1" t="s">
        <v>75</v>
      </c>
      <c r="X16" s="1" t="s">
        <v>75</v>
      </c>
      <c r="Y16" s="1" t="s">
        <v>75</v>
      </c>
      <c r="Z16" s="1" t="s">
        <v>75</v>
      </c>
      <c r="AA16" s="1" t="s">
        <v>75</v>
      </c>
      <c r="AB16" s="1" t="s">
        <v>75</v>
      </c>
      <c r="AC16" s="1" t="s">
        <v>78</v>
      </c>
      <c r="AD16" s="1" t="s">
        <v>78</v>
      </c>
      <c r="AE16" s="1" t="s">
        <v>120</v>
      </c>
      <c r="AF16" s="1" t="s">
        <v>120</v>
      </c>
      <c r="AG16" s="1" t="s">
        <v>96</v>
      </c>
      <c r="AH16" s="1" t="s">
        <v>96</v>
      </c>
      <c r="AI16" s="1" t="s">
        <v>96</v>
      </c>
      <c r="BK16" s="1">
        <v>2</v>
      </c>
    </row>
    <row r="17" spans="1:63" ht="13.2" x14ac:dyDescent="0.25">
      <c r="A17" s="1" t="s">
        <v>121</v>
      </c>
      <c r="B17" s="1" t="s">
        <v>89</v>
      </c>
      <c r="C17" s="1" t="s">
        <v>65</v>
      </c>
      <c r="D17" s="1" t="s">
        <v>86</v>
      </c>
      <c r="E17" s="1" t="s">
        <v>67</v>
      </c>
      <c r="F17" s="1">
        <v>3</v>
      </c>
      <c r="G17" s="1" t="s">
        <v>99</v>
      </c>
      <c r="H17" s="1" t="s">
        <v>107</v>
      </c>
      <c r="I17" s="1" t="s">
        <v>108</v>
      </c>
      <c r="J17" s="3" t="s">
        <v>71</v>
      </c>
      <c r="K17" s="3" t="s">
        <v>71</v>
      </c>
      <c r="L17" s="1" t="s">
        <v>72</v>
      </c>
      <c r="M17" s="1" t="s">
        <v>73</v>
      </c>
      <c r="N17" s="1" t="s">
        <v>73</v>
      </c>
      <c r="O17" s="1" t="s">
        <v>101</v>
      </c>
      <c r="P17" s="1" t="s">
        <v>73</v>
      </c>
      <c r="Q17" s="1" t="s">
        <v>73</v>
      </c>
      <c r="R17" s="1" t="s">
        <v>72</v>
      </c>
      <c r="S17" s="1" t="s">
        <v>73</v>
      </c>
      <c r="T17" s="1" t="s">
        <v>94</v>
      </c>
      <c r="U17" s="1" t="s">
        <v>93</v>
      </c>
      <c r="V17" s="1" t="s">
        <v>76</v>
      </c>
      <c r="W17" s="1" t="s">
        <v>76</v>
      </c>
      <c r="X17" s="1" t="s">
        <v>77</v>
      </c>
      <c r="Y17" s="1" t="s">
        <v>75</v>
      </c>
      <c r="Z17" s="1" t="s">
        <v>94</v>
      </c>
      <c r="AA17" s="1" t="s">
        <v>75</v>
      </c>
      <c r="AB17" s="1" t="s">
        <v>75</v>
      </c>
      <c r="AC17" s="1" t="s">
        <v>78</v>
      </c>
      <c r="AD17" s="1" t="s">
        <v>78</v>
      </c>
      <c r="AE17" s="1" t="s">
        <v>79</v>
      </c>
      <c r="AF17" s="1" t="s">
        <v>120</v>
      </c>
      <c r="AG17" s="1" t="s">
        <v>96</v>
      </c>
      <c r="AH17" s="1" t="s">
        <v>96</v>
      </c>
      <c r="AI17" s="1" t="s">
        <v>96</v>
      </c>
      <c r="AJ17" s="1" t="s">
        <v>84</v>
      </c>
      <c r="AK17" s="1" t="s">
        <v>84</v>
      </c>
      <c r="AL17" s="1" t="s">
        <v>84</v>
      </c>
      <c r="AM17" s="1" t="s">
        <v>84</v>
      </c>
      <c r="AN17" s="1" t="s">
        <v>84</v>
      </c>
      <c r="AO17" s="1" t="s">
        <v>84</v>
      </c>
      <c r="AP17" s="1" t="s">
        <v>84</v>
      </c>
      <c r="AQ17" s="1" t="s">
        <v>84</v>
      </c>
      <c r="AR17" s="1" t="s">
        <v>84</v>
      </c>
      <c r="AS17" s="1" t="s">
        <v>84</v>
      </c>
      <c r="AT17" s="1" t="s">
        <v>84</v>
      </c>
      <c r="AU17" s="1" t="s">
        <v>84</v>
      </c>
      <c r="AV17" s="1" t="s">
        <v>84</v>
      </c>
      <c r="AW17" s="1" t="s">
        <v>84</v>
      </c>
      <c r="AX17" s="1" t="s">
        <v>84</v>
      </c>
      <c r="AY17" s="1" t="s">
        <v>84</v>
      </c>
      <c r="AZ17" s="1" t="s">
        <v>84</v>
      </c>
      <c r="BA17" s="1" t="s">
        <v>84</v>
      </c>
      <c r="BB17" s="1" t="s">
        <v>84</v>
      </c>
      <c r="BC17" s="1" t="s">
        <v>84</v>
      </c>
      <c r="BD17" s="1" t="s">
        <v>84</v>
      </c>
      <c r="BE17" s="1" t="s">
        <v>84</v>
      </c>
      <c r="BF17" s="1" t="s">
        <v>84</v>
      </c>
      <c r="BH17" s="1" t="s">
        <v>84</v>
      </c>
      <c r="BK17" s="1">
        <v>0</v>
      </c>
    </row>
    <row r="18" spans="1:63" ht="13.2" x14ac:dyDescent="0.25">
      <c r="A18" s="1" t="s">
        <v>121</v>
      </c>
      <c r="B18" s="1" t="s">
        <v>89</v>
      </c>
      <c r="C18" s="1" t="s">
        <v>65</v>
      </c>
      <c r="D18" s="1" t="s">
        <v>86</v>
      </c>
      <c r="E18" s="1" t="s">
        <v>110</v>
      </c>
      <c r="F18" s="1">
        <v>3</v>
      </c>
      <c r="G18" s="1" t="s">
        <v>99</v>
      </c>
      <c r="H18" s="1" t="s">
        <v>107</v>
      </c>
      <c r="I18" s="1" t="s">
        <v>127</v>
      </c>
      <c r="J18" s="3" t="s">
        <v>71</v>
      </c>
      <c r="K18" s="3" t="s">
        <v>91</v>
      </c>
      <c r="L18" s="1" t="s">
        <v>72</v>
      </c>
      <c r="M18" s="1" t="s">
        <v>72</v>
      </c>
      <c r="N18" s="1" t="s">
        <v>72</v>
      </c>
      <c r="O18" s="1" t="s">
        <v>72</v>
      </c>
      <c r="P18" s="1" t="s">
        <v>73</v>
      </c>
      <c r="Q18" s="1" t="s">
        <v>101</v>
      </c>
      <c r="R18" s="1" t="s">
        <v>72</v>
      </c>
      <c r="S18" s="1" t="s">
        <v>73</v>
      </c>
      <c r="T18" s="1" t="s">
        <v>76</v>
      </c>
      <c r="U18" s="1" t="s">
        <v>77</v>
      </c>
      <c r="V18" s="1" t="s">
        <v>94</v>
      </c>
      <c r="W18" s="1" t="s">
        <v>75</v>
      </c>
      <c r="X18" s="1" t="s">
        <v>75</v>
      </c>
      <c r="Y18" s="1" t="s">
        <v>75</v>
      </c>
      <c r="Z18" s="1" t="s">
        <v>75</v>
      </c>
      <c r="AA18" s="1" t="s">
        <v>75</v>
      </c>
      <c r="AB18" s="1" t="s">
        <v>75</v>
      </c>
      <c r="AC18" s="1" t="s">
        <v>78</v>
      </c>
      <c r="AD18" s="1" t="s">
        <v>78</v>
      </c>
      <c r="AE18" s="1" t="s">
        <v>79</v>
      </c>
      <c r="AF18" s="1" t="s">
        <v>80</v>
      </c>
      <c r="AG18" s="1" t="s">
        <v>96</v>
      </c>
      <c r="AH18" s="1" t="s">
        <v>96</v>
      </c>
      <c r="AI18" s="1" t="s">
        <v>96</v>
      </c>
      <c r="AJ18" s="1" t="s">
        <v>84</v>
      </c>
      <c r="AK18" s="1" t="s">
        <v>84</v>
      </c>
      <c r="AL18" s="1" t="s">
        <v>84</v>
      </c>
      <c r="AM18" s="1" t="s">
        <v>84</v>
      </c>
      <c r="AN18" s="1" t="s">
        <v>84</v>
      </c>
      <c r="AO18" s="1" t="s">
        <v>84</v>
      </c>
      <c r="AP18" s="1" t="s">
        <v>84</v>
      </c>
      <c r="AQ18" s="1" t="s">
        <v>84</v>
      </c>
      <c r="AR18" s="1" t="s">
        <v>84</v>
      </c>
      <c r="AS18" s="1" t="s">
        <v>84</v>
      </c>
      <c r="AT18" s="1" t="s">
        <v>84</v>
      </c>
      <c r="AU18" s="1" t="s">
        <v>84</v>
      </c>
      <c r="AV18" s="1" t="s">
        <v>97</v>
      </c>
      <c r="AW18" s="1" t="s">
        <v>97</v>
      </c>
      <c r="AX18" s="1" t="s">
        <v>97</v>
      </c>
      <c r="AY18" s="1" t="s">
        <v>97</v>
      </c>
      <c r="AZ18" s="1" t="s">
        <v>97</v>
      </c>
      <c r="BA18" s="1" t="s">
        <v>97</v>
      </c>
      <c r="BB18" s="1" t="s">
        <v>97</v>
      </c>
      <c r="BC18" s="1" t="s">
        <v>97</v>
      </c>
      <c r="BD18" s="1" t="s">
        <v>97</v>
      </c>
      <c r="BE18" s="1" t="s">
        <v>97</v>
      </c>
      <c r="BF18" s="1" t="s">
        <v>97</v>
      </c>
      <c r="BH18" s="1" t="s">
        <v>97</v>
      </c>
      <c r="BK18" s="1" t="s">
        <v>125</v>
      </c>
    </row>
    <row r="19" spans="1:63" ht="13.2" x14ac:dyDescent="0.25">
      <c r="A19" s="1" t="s">
        <v>121</v>
      </c>
      <c r="B19" s="1" t="s">
        <v>69</v>
      </c>
      <c r="C19" s="1" t="s">
        <v>65</v>
      </c>
      <c r="D19" s="1" t="s">
        <v>86</v>
      </c>
      <c r="E19" s="1" t="s">
        <v>67</v>
      </c>
      <c r="F19" s="1">
        <v>2</v>
      </c>
      <c r="G19" s="1" t="s">
        <v>99</v>
      </c>
      <c r="H19" s="1" t="s">
        <v>113</v>
      </c>
      <c r="I19" s="1" t="s">
        <v>128</v>
      </c>
      <c r="J19" s="3" t="s">
        <v>71</v>
      </c>
      <c r="K19" s="3" t="s">
        <v>71</v>
      </c>
      <c r="L19" s="1" t="s">
        <v>72</v>
      </c>
      <c r="M19" s="1" t="s">
        <v>101</v>
      </c>
      <c r="N19" s="1" t="s">
        <v>101</v>
      </c>
      <c r="O19" s="1" t="s">
        <v>101</v>
      </c>
      <c r="P19" s="1" t="s">
        <v>73</v>
      </c>
      <c r="Q19" s="1" t="s">
        <v>74</v>
      </c>
      <c r="R19" s="1" t="s">
        <v>72</v>
      </c>
      <c r="S19" s="1" t="s">
        <v>73</v>
      </c>
      <c r="T19" s="1" t="s">
        <v>77</v>
      </c>
      <c r="U19" s="1" t="s">
        <v>77</v>
      </c>
      <c r="V19" s="1" t="s">
        <v>94</v>
      </c>
      <c r="W19" s="1" t="s">
        <v>77</v>
      </c>
      <c r="X19" s="1" t="s">
        <v>75</v>
      </c>
      <c r="Y19" s="1" t="s">
        <v>94</v>
      </c>
      <c r="Z19" s="1" t="s">
        <v>94</v>
      </c>
      <c r="AA19" s="1" t="s">
        <v>75</v>
      </c>
      <c r="AB19" s="1" t="s">
        <v>75</v>
      </c>
      <c r="AC19" s="1" t="s">
        <v>78</v>
      </c>
      <c r="AD19" s="1" t="s">
        <v>78</v>
      </c>
      <c r="AE19" s="1" t="s">
        <v>80</v>
      </c>
      <c r="AF19" s="1" t="s">
        <v>80</v>
      </c>
      <c r="AG19" s="1" t="s">
        <v>82</v>
      </c>
      <c r="AH19" s="1" t="s">
        <v>112</v>
      </c>
      <c r="AI19" s="1" t="s">
        <v>112</v>
      </c>
      <c r="AJ19" s="1" t="s">
        <v>97</v>
      </c>
      <c r="AK19" s="1" t="s">
        <v>97</v>
      </c>
      <c r="AL19" s="1" t="s">
        <v>97</v>
      </c>
      <c r="AM19" s="1" t="s">
        <v>97</v>
      </c>
      <c r="AN19" s="1" t="s">
        <v>97</v>
      </c>
      <c r="AO19" s="1" t="s">
        <v>97</v>
      </c>
      <c r="AP19" s="1" t="s">
        <v>97</v>
      </c>
      <c r="AQ19" s="1" t="s">
        <v>97</v>
      </c>
      <c r="AR19" s="1" t="s">
        <v>97</v>
      </c>
      <c r="AS19" s="1" t="s">
        <v>97</v>
      </c>
      <c r="AT19" s="1" t="s">
        <v>97</v>
      </c>
      <c r="AU19" s="1" t="s">
        <v>97</v>
      </c>
      <c r="AV19" s="1" t="s">
        <v>97</v>
      </c>
      <c r="AW19" s="1" t="s">
        <v>97</v>
      </c>
      <c r="AX19" s="1" t="s">
        <v>97</v>
      </c>
      <c r="AY19" s="1" t="s">
        <v>97</v>
      </c>
      <c r="AZ19" s="1" t="s">
        <v>97</v>
      </c>
      <c r="BA19" s="1" t="s">
        <v>97</v>
      </c>
      <c r="BB19" s="1" t="s">
        <v>97</v>
      </c>
      <c r="BC19" s="1" t="s">
        <v>97</v>
      </c>
      <c r="BD19" s="1" t="s">
        <v>97</v>
      </c>
      <c r="BE19" s="1" t="s">
        <v>97</v>
      </c>
      <c r="BF19" s="1" t="s">
        <v>97</v>
      </c>
      <c r="BH19" s="1" t="s">
        <v>97</v>
      </c>
      <c r="BK19" s="1">
        <v>0</v>
      </c>
    </row>
    <row r="20" spans="1:63" ht="13.2" x14ac:dyDescent="0.25">
      <c r="A20" s="1" t="s">
        <v>121</v>
      </c>
      <c r="B20" s="1" t="s">
        <v>64</v>
      </c>
      <c r="C20" s="1" t="s">
        <v>65</v>
      </c>
      <c r="D20" s="1" t="s">
        <v>86</v>
      </c>
      <c r="E20" s="1" t="s">
        <v>67</v>
      </c>
      <c r="F20" s="1">
        <v>2</v>
      </c>
      <c r="G20" s="1" t="s">
        <v>68</v>
      </c>
      <c r="H20" s="1" t="s">
        <v>129</v>
      </c>
      <c r="I20" s="1" t="s">
        <v>130</v>
      </c>
      <c r="J20" s="1" t="s">
        <v>105</v>
      </c>
      <c r="K20" s="1" t="s">
        <v>105</v>
      </c>
      <c r="L20" s="1" t="s">
        <v>72</v>
      </c>
      <c r="M20" s="1" t="s">
        <v>73</v>
      </c>
      <c r="N20" s="1" t="s">
        <v>72</v>
      </c>
      <c r="O20" s="1" t="s">
        <v>73</v>
      </c>
      <c r="P20" s="1" t="s">
        <v>73</v>
      </c>
      <c r="Q20" s="1" t="s">
        <v>101</v>
      </c>
      <c r="R20" s="1" t="s">
        <v>73</v>
      </c>
      <c r="S20" s="1" t="s">
        <v>73</v>
      </c>
      <c r="T20" s="1" t="s">
        <v>94</v>
      </c>
      <c r="U20" s="1" t="s">
        <v>94</v>
      </c>
      <c r="V20" s="1" t="s">
        <v>94</v>
      </c>
      <c r="W20" s="1" t="s">
        <v>94</v>
      </c>
      <c r="X20" s="1" t="s">
        <v>76</v>
      </c>
      <c r="Y20" s="1" t="s">
        <v>76</v>
      </c>
      <c r="Z20" s="1" t="s">
        <v>94</v>
      </c>
      <c r="AB20" s="1" t="s">
        <v>76</v>
      </c>
      <c r="AC20" s="1" t="s">
        <v>78</v>
      </c>
      <c r="AD20" s="1" t="s">
        <v>78</v>
      </c>
      <c r="AE20" s="1" t="s">
        <v>80</v>
      </c>
      <c r="AF20" s="1" t="s">
        <v>80</v>
      </c>
      <c r="AG20" s="1" t="s">
        <v>96</v>
      </c>
      <c r="AH20" s="1" t="s">
        <v>96</v>
      </c>
      <c r="AI20" s="1" t="s">
        <v>96</v>
      </c>
      <c r="AJ20" s="1" t="s">
        <v>84</v>
      </c>
      <c r="AK20" s="1" t="s">
        <v>84</v>
      </c>
      <c r="AL20" s="1" t="s">
        <v>84</v>
      </c>
      <c r="AM20" s="1" t="s">
        <v>84</v>
      </c>
      <c r="AN20" s="1" t="s">
        <v>84</v>
      </c>
      <c r="AO20" s="1" t="s">
        <v>84</v>
      </c>
      <c r="AP20" s="1" t="s">
        <v>84</v>
      </c>
      <c r="AQ20" s="1" t="s">
        <v>84</v>
      </c>
      <c r="AR20" s="1" t="s">
        <v>84</v>
      </c>
      <c r="AS20" s="1" t="s">
        <v>84</v>
      </c>
      <c r="AT20" s="1" t="s">
        <v>84</v>
      </c>
      <c r="AU20" s="1" t="s">
        <v>84</v>
      </c>
      <c r="AV20" s="1" t="s">
        <v>84</v>
      </c>
      <c r="AW20" s="1" t="s">
        <v>84</v>
      </c>
      <c r="AX20" s="1" t="s">
        <v>84</v>
      </c>
      <c r="AY20" s="1" t="s">
        <v>84</v>
      </c>
      <c r="AZ20" s="1" t="s">
        <v>84</v>
      </c>
      <c r="BA20" s="1" t="s">
        <v>84</v>
      </c>
      <c r="BB20" s="1" t="s">
        <v>84</v>
      </c>
      <c r="BC20" s="1" t="s">
        <v>84</v>
      </c>
      <c r="BD20" s="1" t="s">
        <v>84</v>
      </c>
      <c r="BE20" s="1" t="s">
        <v>84</v>
      </c>
      <c r="BF20" s="1" t="s">
        <v>84</v>
      </c>
      <c r="BH20" s="1" t="s">
        <v>84</v>
      </c>
      <c r="BK20" s="1">
        <v>4</v>
      </c>
    </row>
    <row r="21" spans="1:63" ht="13.2" x14ac:dyDescent="0.25">
      <c r="A21" s="1" t="s">
        <v>121</v>
      </c>
      <c r="B21" s="1" t="s">
        <v>107</v>
      </c>
      <c r="C21" s="1" t="s">
        <v>65</v>
      </c>
      <c r="D21" s="1" t="s">
        <v>86</v>
      </c>
      <c r="E21" s="1" t="s">
        <v>67</v>
      </c>
      <c r="F21" s="1">
        <v>1</v>
      </c>
      <c r="G21" s="1" t="s">
        <v>68</v>
      </c>
      <c r="H21" s="1" t="s">
        <v>113</v>
      </c>
      <c r="I21" s="1" t="s">
        <v>70</v>
      </c>
      <c r="J21" s="3" t="s">
        <v>91</v>
      </c>
      <c r="K21" s="3" t="s">
        <v>91</v>
      </c>
      <c r="L21" s="1" t="s">
        <v>72</v>
      </c>
      <c r="M21" s="1" t="s">
        <v>92</v>
      </c>
      <c r="N21" s="1" t="s">
        <v>72</v>
      </c>
      <c r="O21" s="1" t="s">
        <v>101</v>
      </c>
      <c r="P21" s="1" t="s">
        <v>72</v>
      </c>
      <c r="Q21" s="1" t="s">
        <v>74</v>
      </c>
      <c r="R21" s="1" t="s">
        <v>72</v>
      </c>
      <c r="S21" s="1" t="s">
        <v>73</v>
      </c>
      <c r="T21" s="1" t="s">
        <v>77</v>
      </c>
      <c r="U21" s="1" t="s">
        <v>93</v>
      </c>
      <c r="V21" s="1" t="s">
        <v>93</v>
      </c>
      <c r="W21" s="1" t="s">
        <v>94</v>
      </c>
      <c r="X21" s="1" t="s">
        <v>75</v>
      </c>
      <c r="Y21" s="1" t="s">
        <v>75</v>
      </c>
      <c r="Z21" s="1" t="s">
        <v>75</v>
      </c>
      <c r="AA21" s="1" t="s">
        <v>75</v>
      </c>
      <c r="AB21" s="1" t="s">
        <v>75</v>
      </c>
      <c r="AC21" s="1" t="s">
        <v>78</v>
      </c>
      <c r="AD21" s="1" t="s">
        <v>78</v>
      </c>
      <c r="AE21" s="1" t="s">
        <v>95</v>
      </c>
      <c r="AF21" s="1" t="s">
        <v>95</v>
      </c>
      <c r="AG21" s="1" t="s">
        <v>82</v>
      </c>
      <c r="AH21" s="1" t="s">
        <v>81</v>
      </c>
      <c r="AI21" s="1" t="s">
        <v>81</v>
      </c>
      <c r="AJ21" s="1" t="s">
        <v>84</v>
      </c>
      <c r="AK21" s="1" t="s">
        <v>97</v>
      </c>
      <c r="AL21" s="1" t="s">
        <v>97</v>
      </c>
      <c r="AM21" s="1" t="s">
        <v>83</v>
      </c>
      <c r="AN21" s="1" t="s">
        <v>84</v>
      </c>
      <c r="AO21" s="1" t="s">
        <v>84</v>
      </c>
      <c r="AP21" s="1" t="s">
        <v>84</v>
      </c>
      <c r="AQ21" s="1" t="s">
        <v>97</v>
      </c>
      <c r="AR21" s="1" t="s">
        <v>97</v>
      </c>
      <c r="AS21" s="1" t="s">
        <v>83</v>
      </c>
      <c r="AT21" s="1" t="s">
        <v>97</v>
      </c>
      <c r="AU21" s="1" t="s">
        <v>97</v>
      </c>
      <c r="AV21" s="1" t="s">
        <v>84</v>
      </c>
      <c r="AW21" s="1" t="s">
        <v>97</v>
      </c>
      <c r="AX21" s="1" t="s">
        <v>97</v>
      </c>
      <c r="AY21" s="1" t="s">
        <v>83</v>
      </c>
      <c r="AZ21" s="1" t="s">
        <v>84</v>
      </c>
      <c r="BA21" s="1" t="s">
        <v>84</v>
      </c>
      <c r="BB21" s="1" t="s">
        <v>84</v>
      </c>
      <c r="BC21" s="1" t="s">
        <v>97</v>
      </c>
      <c r="BD21" s="1" t="s">
        <v>97</v>
      </c>
      <c r="BE21" s="1" t="s">
        <v>83</v>
      </c>
      <c r="BF21" s="1" t="s">
        <v>97</v>
      </c>
      <c r="BH21" s="1" t="s">
        <v>97</v>
      </c>
      <c r="BK21" s="1">
        <v>1</v>
      </c>
    </row>
    <row r="22" spans="1:63" ht="13.2" x14ac:dyDescent="0.25">
      <c r="A22" s="1" t="s">
        <v>121</v>
      </c>
      <c r="B22" s="1" t="s">
        <v>64</v>
      </c>
      <c r="C22" s="1" t="s">
        <v>65</v>
      </c>
      <c r="D22" s="1" t="s">
        <v>86</v>
      </c>
      <c r="E22" s="1" t="s">
        <v>67</v>
      </c>
      <c r="F22" s="1">
        <v>3</v>
      </c>
      <c r="G22" s="1" t="s">
        <v>68</v>
      </c>
      <c r="H22" s="1" t="s">
        <v>89</v>
      </c>
      <c r="I22" s="1" t="s">
        <v>108</v>
      </c>
      <c r="J22" s="3" t="s">
        <v>106</v>
      </c>
      <c r="K22" s="3" t="s">
        <v>106</v>
      </c>
      <c r="L22" s="1" t="s">
        <v>72</v>
      </c>
      <c r="M22" s="1" t="s">
        <v>73</v>
      </c>
      <c r="N22" s="1" t="s">
        <v>73</v>
      </c>
      <c r="O22" s="1" t="s">
        <v>73</v>
      </c>
      <c r="P22" s="1" t="s">
        <v>101</v>
      </c>
      <c r="Q22" s="1" t="s">
        <v>92</v>
      </c>
      <c r="R22" s="1" t="s">
        <v>73</v>
      </c>
      <c r="S22" s="1" t="s">
        <v>101</v>
      </c>
      <c r="T22" s="1" t="s">
        <v>75</v>
      </c>
      <c r="U22" s="1" t="s">
        <v>76</v>
      </c>
      <c r="V22" s="1" t="s">
        <v>75</v>
      </c>
      <c r="W22" s="1" t="s">
        <v>75</v>
      </c>
      <c r="X22" s="1" t="s">
        <v>75</v>
      </c>
      <c r="Y22" s="1" t="s">
        <v>75</v>
      </c>
      <c r="Z22" s="1" t="s">
        <v>77</v>
      </c>
      <c r="AA22" s="1" t="s">
        <v>75</v>
      </c>
      <c r="AB22" s="1" t="s">
        <v>75</v>
      </c>
      <c r="AC22" s="1" t="s">
        <v>84</v>
      </c>
      <c r="AD22" s="1" t="s">
        <v>78</v>
      </c>
      <c r="AE22" s="1" t="s">
        <v>80</v>
      </c>
      <c r="AF22" s="1" t="s">
        <v>80</v>
      </c>
      <c r="AG22" s="1" t="s">
        <v>96</v>
      </c>
      <c r="AH22" s="1" t="s">
        <v>96</v>
      </c>
      <c r="AI22" s="1" t="s">
        <v>96</v>
      </c>
      <c r="AJ22" s="1" t="s">
        <v>84</v>
      </c>
      <c r="AK22" s="1" t="s">
        <v>84</v>
      </c>
      <c r="AL22" s="1" t="s">
        <v>84</v>
      </c>
      <c r="AM22" s="1" t="s">
        <v>84</v>
      </c>
      <c r="AN22" s="1" t="s">
        <v>84</v>
      </c>
      <c r="AO22" s="1" t="s">
        <v>84</v>
      </c>
      <c r="AP22" s="1" t="s">
        <v>84</v>
      </c>
      <c r="AQ22" s="1" t="s">
        <v>84</v>
      </c>
      <c r="AR22" s="1" t="s">
        <v>97</v>
      </c>
      <c r="AS22" s="1" t="s">
        <v>83</v>
      </c>
      <c r="AT22" s="1" t="s">
        <v>78</v>
      </c>
      <c r="AU22" s="1" t="s">
        <v>78</v>
      </c>
      <c r="AV22" s="1" t="s">
        <v>84</v>
      </c>
      <c r="AW22" s="1" t="s">
        <v>78</v>
      </c>
      <c r="AX22" s="1" t="s">
        <v>84</v>
      </c>
      <c r="AY22" s="1" t="s">
        <v>84</v>
      </c>
      <c r="AZ22" s="1" t="s">
        <v>84</v>
      </c>
      <c r="BA22" s="1" t="s">
        <v>84</v>
      </c>
      <c r="BB22" s="1" t="s">
        <v>84</v>
      </c>
      <c r="BC22" s="1" t="s">
        <v>84</v>
      </c>
      <c r="BD22" s="1" t="s">
        <v>78</v>
      </c>
      <c r="BE22" s="1" t="s">
        <v>78</v>
      </c>
      <c r="BF22" s="1" t="s">
        <v>84</v>
      </c>
      <c r="BH22" s="1" t="s">
        <v>84</v>
      </c>
      <c r="BK22" s="1" t="s">
        <v>131</v>
      </c>
    </row>
    <row r="23" spans="1:63" ht="13.2" x14ac:dyDescent="0.25">
      <c r="A23" s="1" t="s">
        <v>121</v>
      </c>
      <c r="B23" s="1" t="s">
        <v>69</v>
      </c>
      <c r="C23" s="1" t="s">
        <v>65</v>
      </c>
      <c r="D23" s="1" t="s">
        <v>86</v>
      </c>
      <c r="E23" s="1" t="s">
        <v>67</v>
      </c>
      <c r="F23" s="1">
        <v>3</v>
      </c>
      <c r="G23" s="1" t="s">
        <v>68</v>
      </c>
      <c r="H23" s="1" t="s">
        <v>89</v>
      </c>
      <c r="I23" s="1" t="s">
        <v>126</v>
      </c>
      <c r="J23" s="3" t="s">
        <v>91</v>
      </c>
      <c r="K23" s="3" t="s">
        <v>91</v>
      </c>
      <c r="L23" s="1" t="s">
        <v>72</v>
      </c>
      <c r="M23" s="1" t="s">
        <v>72</v>
      </c>
      <c r="N23" s="1" t="s">
        <v>72</v>
      </c>
      <c r="O23" s="1" t="s">
        <v>101</v>
      </c>
      <c r="P23" s="1" t="s">
        <v>72</v>
      </c>
      <c r="Q23" s="1" t="s">
        <v>101</v>
      </c>
      <c r="R23" s="1" t="s">
        <v>72</v>
      </c>
      <c r="S23" s="1" t="s">
        <v>72</v>
      </c>
      <c r="T23" s="1" t="s">
        <v>77</v>
      </c>
      <c r="U23" s="1" t="s">
        <v>94</v>
      </c>
      <c r="V23" s="1" t="s">
        <v>76</v>
      </c>
      <c r="W23" s="1" t="s">
        <v>75</v>
      </c>
      <c r="X23" s="1" t="s">
        <v>75</v>
      </c>
      <c r="Y23" s="1" t="s">
        <v>75</v>
      </c>
      <c r="Z23" s="1" t="s">
        <v>77</v>
      </c>
      <c r="AA23" s="1" t="s">
        <v>75</v>
      </c>
      <c r="AB23" s="1" t="s">
        <v>75</v>
      </c>
      <c r="AC23" s="1" t="s">
        <v>78</v>
      </c>
      <c r="AD23" s="1" t="s">
        <v>78</v>
      </c>
      <c r="AE23" s="1" t="s">
        <v>80</v>
      </c>
      <c r="AF23" s="1" t="s">
        <v>79</v>
      </c>
      <c r="AG23" s="1" t="s">
        <v>96</v>
      </c>
      <c r="AH23" s="1" t="s">
        <v>96</v>
      </c>
      <c r="AI23" s="1" t="s">
        <v>96</v>
      </c>
      <c r="AJ23" s="1" t="s">
        <v>84</v>
      </c>
      <c r="AK23" s="1" t="s">
        <v>84</v>
      </c>
      <c r="AL23" s="1" t="s">
        <v>97</v>
      </c>
      <c r="AM23" s="1" t="s">
        <v>84</v>
      </c>
      <c r="AN23" s="1" t="s">
        <v>84</v>
      </c>
      <c r="AO23" s="1" t="s">
        <v>84</v>
      </c>
      <c r="AP23" s="1" t="s">
        <v>97</v>
      </c>
      <c r="AQ23" s="1" t="s">
        <v>84</v>
      </c>
      <c r="AR23" s="1" t="s">
        <v>97</v>
      </c>
      <c r="AS23" s="1" t="s">
        <v>83</v>
      </c>
      <c r="AT23" s="1" t="s">
        <v>97</v>
      </c>
      <c r="AU23" s="1" t="s">
        <v>84</v>
      </c>
      <c r="AV23" s="1" t="s">
        <v>84</v>
      </c>
      <c r="AW23" s="1" t="s">
        <v>84</v>
      </c>
      <c r="AX23" s="1" t="s">
        <v>97</v>
      </c>
      <c r="AY23" s="1" t="s">
        <v>84</v>
      </c>
      <c r="AZ23" s="1" t="s">
        <v>84</v>
      </c>
      <c r="BA23" s="1" t="s">
        <v>84</v>
      </c>
      <c r="BB23" s="1" t="s">
        <v>97</v>
      </c>
      <c r="BC23" s="1" t="s">
        <v>84</v>
      </c>
      <c r="BD23" s="1" t="s">
        <v>97</v>
      </c>
      <c r="BE23" s="1" t="s">
        <v>83</v>
      </c>
      <c r="BF23" s="1" t="s">
        <v>97</v>
      </c>
      <c r="BH23" s="1" t="s">
        <v>84</v>
      </c>
      <c r="BK23" s="1">
        <v>0</v>
      </c>
    </row>
    <row r="24" spans="1:63" ht="13.2" x14ac:dyDescent="0.25">
      <c r="A24" s="1" t="s">
        <v>121</v>
      </c>
      <c r="B24" s="1" t="s">
        <v>118</v>
      </c>
      <c r="C24" s="1" t="s">
        <v>65</v>
      </c>
      <c r="D24" s="1" t="s">
        <v>86</v>
      </c>
      <c r="E24" s="1" t="s">
        <v>110</v>
      </c>
      <c r="F24" s="1">
        <v>2</v>
      </c>
      <c r="G24" s="1" t="s">
        <v>68</v>
      </c>
      <c r="H24" s="1" t="s">
        <v>129</v>
      </c>
      <c r="I24" s="1" t="s">
        <v>132</v>
      </c>
      <c r="J24" s="3" t="s">
        <v>71</v>
      </c>
      <c r="K24" s="3" t="s">
        <v>71</v>
      </c>
      <c r="L24" s="1" t="s">
        <v>73</v>
      </c>
      <c r="M24" s="1" t="s">
        <v>73</v>
      </c>
      <c r="N24" s="1" t="s">
        <v>73</v>
      </c>
      <c r="O24" s="1" t="s">
        <v>73</v>
      </c>
      <c r="P24" s="1" t="s">
        <v>101</v>
      </c>
      <c r="Q24" s="1" t="s">
        <v>101</v>
      </c>
      <c r="R24" s="1" t="s">
        <v>72</v>
      </c>
      <c r="S24" s="1" t="s">
        <v>92</v>
      </c>
      <c r="T24" s="1" t="s">
        <v>94</v>
      </c>
      <c r="U24" s="1" t="s">
        <v>76</v>
      </c>
      <c r="V24" s="1" t="s">
        <v>76</v>
      </c>
      <c r="W24" s="1" t="s">
        <v>76</v>
      </c>
      <c r="X24" s="1" t="s">
        <v>76</v>
      </c>
      <c r="Y24" s="1" t="s">
        <v>76</v>
      </c>
      <c r="Z24" s="1" t="s">
        <v>76</v>
      </c>
      <c r="AA24" s="1" t="s">
        <v>77</v>
      </c>
      <c r="AB24" s="1" t="s">
        <v>77</v>
      </c>
      <c r="AC24" s="1" t="s">
        <v>78</v>
      </c>
      <c r="AD24" s="1" t="s">
        <v>84</v>
      </c>
      <c r="AE24" s="1" t="s">
        <v>120</v>
      </c>
      <c r="AF24" s="1" t="s">
        <v>80</v>
      </c>
      <c r="AG24" s="1" t="s">
        <v>81</v>
      </c>
      <c r="AH24" s="1" t="s">
        <v>81</v>
      </c>
      <c r="AI24" s="1" t="s">
        <v>81</v>
      </c>
      <c r="AJ24" s="1" t="s">
        <v>84</v>
      </c>
      <c r="AK24" s="1" t="s">
        <v>84</v>
      </c>
      <c r="AL24" s="1" t="s">
        <v>84</v>
      </c>
      <c r="AM24" s="1" t="s">
        <v>84</v>
      </c>
      <c r="AN24" s="1" t="s">
        <v>84</v>
      </c>
      <c r="AO24" s="1" t="s">
        <v>84</v>
      </c>
      <c r="AP24" s="1" t="s">
        <v>84</v>
      </c>
      <c r="AQ24" s="1" t="s">
        <v>84</v>
      </c>
      <c r="AR24" s="1" t="s">
        <v>84</v>
      </c>
      <c r="AS24" s="1" t="s">
        <v>84</v>
      </c>
      <c r="AT24" s="1" t="s">
        <v>84</v>
      </c>
      <c r="AU24" s="1" t="s">
        <v>84</v>
      </c>
      <c r="AV24" s="1" t="s">
        <v>84</v>
      </c>
      <c r="AW24" s="1" t="s">
        <v>84</v>
      </c>
      <c r="AX24" s="1" t="s">
        <v>84</v>
      </c>
      <c r="AY24" s="1" t="s">
        <v>84</v>
      </c>
      <c r="AZ24" s="1" t="s">
        <v>84</v>
      </c>
      <c r="BA24" s="1" t="s">
        <v>84</v>
      </c>
      <c r="BB24" s="1" t="s">
        <v>84</v>
      </c>
      <c r="BC24" s="1" t="s">
        <v>84</v>
      </c>
      <c r="BD24" s="1" t="s">
        <v>84</v>
      </c>
      <c r="BE24" s="1" t="s">
        <v>84</v>
      </c>
      <c r="BF24" s="1" t="s">
        <v>84</v>
      </c>
      <c r="BH24" s="1" t="s">
        <v>84</v>
      </c>
      <c r="BK24" s="1">
        <v>0</v>
      </c>
    </row>
    <row r="25" spans="1:63" ht="13.2" x14ac:dyDescent="0.25">
      <c r="A25" s="1" t="s">
        <v>121</v>
      </c>
      <c r="B25" s="1" t="s">
        <v>113</v>
      </c>
      <c r="C25" s="1" t="s">
        <v>65</v>
      </c>
      <c r="D25" s="1" t="s">
        <v>86</v>
      </c>
      <c r="E25" s="1" t="s">
        <v>67</v>
      </c>
      <c r="F25" s="1">
        <v>2</v>
      </c>
      <c r="G25" s="1" t="s">
        <v>88</v>
      </c>
      <c r="H25" s="1" t="s">
        <v>118</v>
      </c>
      <c r="I25" s="1" t="s">
        <v>133</v>
      </c>
      <c r="J25" s="3" t="s">
        <v>71</v>
      </c>
      <c r="K25" s="3" t="s">
        <v>71</v>
      </c>
      <c r="L25" s="1" t="s">
        <v>72</v>
      </c>
      <c r="M25" s="1" t="s">
        <v>101</v>
      </c>
      <c r="N25" s="1" t="s">
        <v>73</v>
      </c>
      <c r="O25" s="1" t="s">
        <v>73</v>
      </c>
      <c r="P25" s="1" t="s">
        <v>73</v>
      </c>
      <c r="Q25" s="1" t="s">
        <v>92</v>
      </c>
      <c r="R25" s="1" t="s">
        <v>73</v>
      </c>
      <c r="S25" s="1" t="s">
        <v>101</v>
      </c>
      <c r="T25" s="1" t="s">
        <v>76</v>
      </c>
      <c r="U25" s="1" t="s">
        <v>93</v>
      </c>
      <c r="V25" s="1" t="s">
        <v>76</v>
      </c>
      <c r="W25" s="1" t="s">
        <v>76</v>
      </c>
      <c r="X25" s="1" t="s">
        <v>94</v>
      </c>
      <c r="Y25" s="1" t="s">
        <v>77</v>
      </c>
      <c r="Z25" s="1" t="s">
        <v>77</v>
      </c>
      <c r="AA25" s="1" t="s">
        <v>75</v>
      </c>
      <c r="AB25" s="1" t="s">
        <v>75</v>
      </c>
      <c r="AC25" s="1" t="s">
        <v>78</v>
      </c>
      <c r="AD25" s="1" t="s">
        <v>78</v>
      </c>
      <c r="AE25" s="1" t="s">
        <v>120</v>
      </c>
      <c r="AF25" s="1" t="s">
        <v>80</v>
      </c>
      <c r="AG25" s="1" t="s">
        <v>96</v>
      </c>
      <c r="AH25" s="1" t="s">
        <v>96</v>
      </c>
      <c r="AI25" s="1" t="s">
        <v>96</v>
      </c>
      <c r="AJ25" s="1" t="s">
        <v>97</v>
      </c>
      <c r="AK25" s="1" t="s">
        <v>97</v>
      </c>
      <c r="AL25" s="1" t="s">
        <v>97</v>
      </c>
      <c r="AM25" s="1" t="s">
        <v>97</v>
      </c>
      <c r="AN25" s="1" t="s">
        <v>97</v>
      </c>
      <c r="AO25" s="1" t="s">
        <v>97</v>
      </c>
      <c r="AP25" s="1" t="s">
        <v>97</v>
      </c>
      <c r="AQ25" s="1" t="s">
        <v>97</v>
      </c>
      <c r="AR25" s="1" t="s">
        <v>97</v>
      </c>
      <c r="AS25" s="1" t="s">
        <v>97</v>
      </c>
      <c r="AT25" s="1" t="s">
        <v>97</v>
      </c>
      <c r="AU25" s="1" t="s">
        <v>97</v>
      </c>
      <c r="AV25" s="1" t="s">
        <v>97</v>
      </c>
      <c r="AW25" s="1" t="s">
        <v>97</v>
      </c>
      <c r="AX25" s="1" t="s">
        <v>97</v>
      </c>
      <c r="AY25" s="1" t="s">
        <v>97</v>
      </c>
      <c r="AZ25" s="1" t="s">
        <v>97</v>
      </c>
      <c r="BA25" s="1" t="s">
        <v>97</v>
      </c>
      <c r="BC25" s="1" t="s">
        <v>97</v>
      </c>
      <c r="BD25" s="1" t="s">
        <v>97</v>
      </c>
      <c r="BE25" s="1" t="s">
        <v>97</v>
      </c>
      <c r="BF25" s="1" t="s">
        <v>97</v>
      </c>
      <c r="BH25" s="1" t="s">
        <v>97</v>
      </c>
      <c r="BK25" s="1">
        <v>0</v>
      </c>
    </row>
    <row r="26" spans="1:63" ht="13.2" x14ac:dyDescent="0.25">
      <c r="A26" s="1" t="s">
        <v>121</v>
      </c>
      <c r="B26" s="1" t="s">
        <v>89</v>
      </c>
      <c r="C26" s="1" t="s">
        <v>65</v>
      </c>
      <c r="D26" s="1" t="s">
        <v>86</v>
      </c>
      <c r="E26" s="1" t="s">
        <v>67</v>
      </c>
      <c r="F26" s="1">
        <v>2</v>
      </c>
      <c r="G26" s="1" t="s">
        <v>68</v>
      </c>
      <c r="H26" s="1" t="s">
        <v>107</v>
      </c>
      <c r="I26" s="1" t="s">
        <v>127</v>
      </c>
      <c r="J26" s="3" t="s">
        <v>91</v>
      </c>
      <c r="K26" s="3" t="s">
        <v>91</v>
      </c>
      <c r="L26" s="1" t="s">
        <v>72</v>
      </c>
      <c r="M26" s="1" t="s">
        <v>72</v>
      </c>
      <c r="N26" s="1" t="s">
        <v>73</v>
      </c>
      <c r="O26" s="1" t="s">
        <v>72</v>
      </c>
      <c r="P26" s="1" t="s">
        <v>72</v>
      </c>
      <c r="Q26" s="1" t="s">
        <v>101</v>
      </c>
      <c r="R26" s="1" t="s">
        <v>72</v>
      </c>
      <c r="S26" s="1" t="s">
        <v>73</v>
      </c>
      <c r="T26" s="1" t="s">
        <v>94</v>
      </c>
      <c r="U26" s="1" t="s">
        <v>93</v>
      </c>
      <c r="V26" s="1" t="s">
        <v>76</v>
      </c>
      <c r="W26" s="1" t="s">
        <v>75</v>
      </c>
      <c r="X26" s="1" t="s">
        <v>75</v>
      </c>
      <c r="Y26" s="1" t="s">
        <v>76</v>
      </c>
      <c r="Z26" s="1" t="s">
        <v>77</v>
      </c>
      <c r="AA26" s="1" t="s">
        <v>75</v>
      </c>
      <c r="AB26" s="1" t="s">
        <v>75</v>
      </c>
      <c r="AC26" s="1" t="s">
        <v>78</v>
      </c>
      <c r="AD26" s="1" t="s">
        <v>78</v>
      </c>
      <c r="AE26" s="1" t="s">
        <v>80</v>
      </c>
      <c r="AF26" s="1" t="s">
        <v>80</v>
      </c>
      <c r="AG26" s="1" t="s">
        <v>112</v>
      </c>
      <c r="AH26" s="1" t="s">
        <v>112</v>
      </c>
      <c r="AI26" s="1" t="s">
        <v>82</v>
      </c>
      <c r="AJ26" s="1" t="s">
        <v>84</v>
      </c>
      <c r="AK26" s="1" t="s">
        <v>84</v>
      </c>
      <c r="AL26" s="1" t="s">
        <v>84</v>
      </c>
      <c r="AM26" s="1" t="s">
        <v>83</v>
      </c>
      <c r="AN26" s="1" t="s">
        <v>83</v>
      </c>
      <c r="AO26" s="1" t="s">
        <v>84</v>
      </c>
      <c r="AP26" s="1" t="s">
        <v>84</v>
      </c>
      <c r="AQ26" s="1" t="s">
        <v>84</v>
      </c>
      <c r="AR26" s="1" t="s">
        <v>84</v>
      </c>
      <c r="AS26" s="1" t="s">
        <v>78</v>
      </c>
      <c r="AT26" s="1" t="s">
        <v>84</v>
      </c>
      <c r="AU26" s="1" t="s">
        <v>84</v>
      </c>
      <c r="AV26" s="1" t="s">
        <v>84</v>
      </c>
      <c r="AW26" s="1" t="s">
        <v>84</v>
      </c>
      <c r="AX26" s="1" t="s">
        <v>84</v>
      </c>
      <c r="AY26" s="1" t="s">
        <v>83</v>
      </c>
      <c r="AZ26" s="1" t="s">
        <v>83</v>
      </c>
      <c r="BA26" s="1" t="s">
        <v>84</v>
      </c>
      <c r="BB26" s="1" t="s">
        <v>84</v>
      </c>
      <c r="BC26" s="1" t="s">
        <v>84</v>
      </c>
      <c r="BD26" s="1" t="s">
        <v>84</v>
      </c>
      <c r="BE26" s="1" t="s">
        <v>78</v>
      </c>
      <c r="BF26" s="1" t="s">
        <v>84</v>
      </c>
      <c r="BH26" s="1" t="s">
        <v>83</v>
      </c>
      <c r="BK26" s="1">
        <v>0</v>
      </c>
    </row>
    <row r="27" spans="1:63" ht="13.2" x14ac:dyDescent="0.25">
      <c r="A27" s="1" t="s">
        <v>121</v>
      </c>
      <c r="B27" s="1" t="s">
        <v>113</v>
      </c>
      <c r="C27" s="1" t="s">
        <v>65</v>
      </c>
      <c r="D27" s="1" t="s">
        <v>86</v>
      </c>
      <c r="E27" s="1" t="s">
        <v>110</v>
      </c>
      <c r="F27" s="1">
        <v>2</v>
      </c>
      <c r="G27" s="1" t="s">
        <v>99</v>
      </c>
      <c r="H27" s="1" t="s">
        <v>129</v>
      </c>
      <c r="I27" s="1" t="s">
        <v>130</v>
      </c>
      <c r="J27" s="3" t="s">
        <v>71</v>
      </c>
      <c r="K27" s="3" t="s">
        <v>71</v>
      </c>
      <c r="L27" s="1" t="s">
        <v>72</v>
      </c>
      <c r="M27" s="1" t="s">
        <v>72</v>
      </c>
      <c r="N27" s="1" t="s">
        <v>73</v>
      </c>
      <c r="O27" s="1" t="s">
        <v>72</v>
      </c>
      <c r="P27" s="1" t="s">
        <v>72</v>
      </c>
      <c r="Q27" s="1" t="s">
        <v>72</v>
      </c>
      <c r="R27" s="1" t="s">
        <v>72</v>
      </c>
      <c r="S27" s="1" t="s">
        <v>73</v>
      </c>
      <c r="T27" s="1" t="s">
        <v>94</v>
      </c>
      <c r="U27" s="1" t="s">
        <v>93</v>
      </c>
      <c r="V27" s="1" t="s">
        <v>76</v>
      </c>
      <c r="W27" s="1" t="s">
        <v>93</v>
      </c>
      <c r="X27" s="1" t="s">
        <v>75</v>
      </c>
      <c r="Y27" s="1" t="s">
        <v>93</v>
      </c>
      <c r="Z27" s="1" t="s">
        <v>76</v>
      </c>
      <c r="AA27" s="1" t="s">
        <v>94</v>
      </c>
      <c r="AB27" s="1" t="s">
        <v>77</v>
      </c>
      <c r="AC27" s="1" t="s">
        <v>78</v>
      </c>
      <c r="AD27" s="1" t="s">
        <v>78</v>
      </c>
      <c r="AE27" s="1" t="s">
        <v>80</v>
      </c>
      <c r="AF27" s="1" t="s">
        <v>80</v>
      </c>
      <c r="AG27" s="1" t="s">
        <v>109</v>
      </c>
      <c r="AH27" s="1" t="s">
        <v>82</v>
      </c>
      <c r="AI27" s="1" t="s">
        <v>81</v>
      </c>
      <c r="AJ27" s="1" t="s">
        <v>84</v>
      </c>
      <c r="AK27" s="1" t="s">
        <v>84</v>
      </c>
      <c r="AL27" s="1" t="s">
        <v>97</v>
      </c>
      <c r="AM27" s="1" t="s">
        <v>84</v>
      </c>
      <c r="AN27" s="1" t="s">
        <v>84</v>
      </c>
      <c r="AO27" s="1" t="s">
        <v>84</v>
      </c>
      <c r="AP27" s="1" t="s">
        <v>84</v>
      </c>
      <c r="AQ27" s="1" t="s">
        <v>84</v>
      </c>
      <c r="AR27" s="1" t="s">
        <v>97</v>
      </c>
      <c r="AS27" s="1" t="s">
        <v>84</v>
      </c>
      <c r="AT27" s="1" t="s">
        <v>97</v>
      </c>
      <c r="AU27" s="1" t="s">
        <v>84</v>
      </c>
      <c r="AV27" s="1" t="s">
        <v>84</v>
      </c>
      <c r="AW27" s="1" t="s">
        <v>84</v>
      </c>
      <c r="AX27" s="1" t="s">
        <v>97</v>
      </c>
      <c r="AY27" s="1" t="s">
        <v>84</v>
      </c>
      <c r="AZ27" s="1" t="s">
        <v>84</v>
      </c>
      <c r="BA27" s="1" t="s">
        <v>84</v>
      </c>
      <c r="BB27" s="1" t="s">
        <v>84</v>
      </c>
      <c r="BC27" s="1" t="s">
        <v>84</v>
      </c>
      <c r="BD27" s="1" t="s">
        <v>97</v>
      </c>
      <c r="BE27" s="1" t="s">
        <v>84</v>
      </c>
      <c r="BF27" s="1" t="s">
        <v>97</v>
      </c>
      <c r="BH27" s="1" t="s">
        <v>84</v>
      </c>
      <c r="BK27" s="1">
        <v>0</v>
      </c>
    </row>
    <row r="28" spans="1:63" ht="13.2" x14ac:dyDescent="0.25">
      <c r="A28" s="1" t="s">
        <v>121</v>
      </c>
      <c r="B28" s="1" t="s">
        <v>107</v>
      </c>
      <c r="C28" s="1" t="s">
        <v>65</v>
      </c>
      <c r="D28" s="1" t="s">
        <v>86</v>
      </c>
      <c r="E28" s="1" t="s">
        <v>110</v>
      </c>
      <c r="F28" s="1">
        <v>2</v>
      </c>
      <c r="G28" s="1" t="s">
        <v>99</v>
      </c>
      <c r="H28" s="1" t="s">
        <v>107</v>
      </c>
      <c r="I28" s="1" t="s">
        <v>134</v>
      </c>
      <c r="J28" s="3" t="s">
        <v>91</v>
      </c>
      <c r="K28" s="3" t="s">
        <v>91</v>
      </c>
      <c r="L28" s="1" t="s">
        <v>73</v>
      </c>
      <c r="M28" s="1" t="s">
        <v>73</v>
      </c>
      <c r="N28" s="1" t="s">
        <v>92</v>
      </c>
      <c r="O28" s="1" t="s">
        <v>73</v>
      </c>
      <c r="P28" s="1" t="s">
        <v>72</v>
      </c>
      <c r="Q28" s="1" t="s">
        <v>92</v>
      </c>
      <c r="R28" s="1" t="s">
        <v>72</v>
      </c>
      <c r="S28" s="1" t="s">
        <v>101</v>
      </c>
      <c r="T28" s="1" t="s">
        <v>94</v>
      </c>
      <c r="U28" s="1" t="s">
        <v>93</v>
      </c>
      <c r="V28" s="1" t="s">
        <v>93</v>
      </c>
      <c r="W28" s="1" t="s">
        <v>75</v>
      </c>
      <c r="X28" s="1" t="s">
        <v>75</v>
      </c>
      <c r="Y28" s="1" t="s">
        <v>75</v>
      </c>
      <c r="Z28" s="1" t="s">
        <v>76</v>
      </c>
      <c r="AA28" s="1" t="s">
        <v>76</v>
      </c>
      <c r="AB28" s="1" t="s">
        <v>77</v>
      </c>
      <c r="AC28" s="1" t="s">
        <v>84</v>
      </c>
      <c r="AD28" s="1" t="s">
        <v>84</v>
      </c>
      <c r="AE28" s="1" t="s">
        <v>79</v>
      </c>
      <c r="AF28" s="1" t="s">
        <v>80</v>
      </c>
      <c r="AG28" s="1" t="s">
        <v>96</v>
      </c>
      <c r="AH28" s="1" t="s">
        <v>96</v>
      </c>
      <c r="AI28" s="1" t="s">
        <v>96</v>
      </c>
      <c r="AJ28" s="1" t="s">
        <v>84</v>
      </c>
      <c r="AK28" s="1" t="s">
        <v>84</v>
      </c>
      <c r="AL28" s="1" t="s">
        <v>84</v>
      </c>
      <c r="AM28" s="1" t="s">
        <v>84</v>
      </c>
      <c r="AN28" s="1" t="s">
        <v>84</v>
      </c>
      <c r="AO28" s="1" t="s">
        <v>84</v>
      </c>
      <c r="AP28" s="1" t="s">
        <v>84</v>
      </c>
      <c r="AQ28" s="1" t="s">
        <v>84</v>
      </c>
      <c r="AR28" s="1" t="s">
        <v>84</v>
      </c>
      <c r="AS28" s="1" t="s">
        <v>84</v>
      </c>
      <c r="AT28" s="1" t="s">
        <v>84</v>
      </c>
      <c r="AU28" s="1" t="s">
        <v>84</v>
      </c>
      <c r="AV28" s="1" t="s">
        <v>84</v>
      </c>
      <c r="AW28" s="1" t="s">
        <v>84</v>
      </c>
      <c r="AX28" s="1" t="s">
        <v>84</v>
      </c>
      <c r="AY28" s="1" t="s">
        <v>84</v>
      </c>
      <c r="AZ28" s="1" t="s">
        <v>84</v>
      </c>
      <c r="BA28" s="1" t="s">
        <v>84</v>
      </c>
      <c r="BB28" s="1" t="s">
        <v>84</v>
      </c>
      <c r="BC28" s="1" t="s">
        <v>84</v>
      </c>
      <c r="BD28" s="1" t="s">
        <v>84</v>
      </c>
      <c r="BE28" s="1" t="s">
        <v>84</v>
      </c>
      <c r="BF28" s="1" t="s">
        <v>84</v>
      </c>
      <c r="BH28" s="1" t="s">
        <v>84</v>
      </c>
      <c r="BI28" s="1"/>
      <c r="BK28" s="1">
        <v>0</v>
      </c>
    </row>
    <row r="29" spans="1:63" ht="13.2" x14ac:dyDescent="0.25">
      <c r="A29" s="1" t="s">
        <v>121</v>
      </c>
      <c r="B29" s="1" t="s">
        <v>107</v>
      </c>
      <c r="C29" s="1" t="s">
        <v>65</v>
      </c>
      <c r="D29" s="1" t="s">
        <v>86</v>
      </c>
      <c r="E29" s="1" t="s">
        <v>67</v>
      </c>
      <c r="F29" s="1">
        <v>3</v>
      </c>
      <c r="G29" s="1" t="s">
        <v>68</v>
      </c>
      <c r="H29" s="1" t="s">
        <v>107</v>
      </c>
      <c r="I29" s="1" t="s">
        <v>135</v>
      </c>
      <c r="J29" s="3" t="s">
        <v>71</v>
      </c>
      <c r="K29" s="3" t="s">
        <v>71</v>
      </c>
      <c r="L29" s="1" t="s">
        <v>72</v>
      </c>
      <c r="M29" s="1" t="s">
        <v>72</v>
      </c>
      <c r="N29" s="1" t="s">
        <v>72</v>
      </c>
      <c r="O29" s="1" t="s">
        <v>72</v>
      </c>
      <c r="P29" s="1" t="s">
        <v>72</v>
      </c>
      <c r="Q29" s="1" t="s">
        <v>74</v>
      </c>
      <c r="R29" s="1" t="s">
        <v>72</v>
      </c>
      <c r="S29" s="1" t="s">
        <v>72</v>
      </c>
      <c r="T29" s="1" t="s">
        <v>93</v>
      </c>
      <c r="U29" s="1" t="s">
        <v>93</v>
      </c>
      <c r="V29" s="1" t="s">
        <v>93</v>
      </c>
      <c r="W29" s="1" t="s">
        <v>75</v>
      </c>
      <c r="X29" s="1" t="s">
        <v>75</v>
      </c>
      <c r="Y29" s="1" t="s">
        <v>76</v>
      </c>
      <c r="Z29" s="1" t="s">
        <v>75</v>
      </c>
      <c r="AA29" s="1" t="s">
        <v>75</v>
      </c>
      <c r="AB29" s="1" t="s">
        <v>75</v>
      </c>
      <c r="AC29" s="1" t="s">
        <v>78</v>
      </c>
      <c r="AD29" s="1" t="s">
        <v>84</v>
      </c>
      <c r="AE29" s="1" t="s">
        <v>80</v>
      </c>
      <c r="AF29" s="1" t="s">
        <v>80</v>
      </c>
      <c r="AG29" s="1" t="s">
        <v>82</v>
      </c>
      <c r="AH29" s="1" t="s">
        <v>82</v>
      </c>
      <c r="AI29" s="1" t="s">
        <v>82</v>
      </c>
      <c r="AJ29" s="1" t="s">
        <v>84</v>
      </c>
      <c r="AK29" s="1" t="s">
        <v>84</v>
      </c>
      <c r="AL29" s="1" t="s">
        <v>84</v>
      </c>
      <c r="AM29" s="1" t="s">
        <v>78</v>
      </c>
      <c r="AN29" s="1" t="s">
        <v>84</v>
      </c>
      <c r="AO29" s="1" t="s">
        <v>84</v>
      </c>
      <c r="AP29" s="1" t="s">
        <v>84</v>
      </c>
      <c r="AQ29" s="1" t="s">
        <v>84</v>
      </c>
      <c r="AR29" s="1" t="s">
        <v>84</v>
      </c>
      <c r="AS29" s="1" t="s">
        <v>78</v>
      </c>
      <c r="AT29" s="1" t="s">
        <v>84</v>
      </c>
      <c r="AU29" s="1" t="s">
        <v>84</v>
      </c>
      <c r="AV29" s="1" t="s">
        <v>84</v>
      </c>
      <c r="AW29" s="1" t="s">
        <v>84</v>
      </c>
      <c r="AX29" s="1" t="s">
        <v>84</v>
      </c>
      <c r="AY29" s="1" t="s">
        <v>78</v>
      </c>
      <c r="AZ29" s="1" t="s">
        <v>84</v>
      </c>
      <c r="BA29" s="1" t="s">
        <v>84</v>
      </c>
      <c r="BB29" s="1" t="s">
        <v>84</v>
      </c>
      <c r="BC29" s="1" t="s">
        <v>84</v>
      </c>
      <c r="BD29" s="1" t="s">
        <v>84</v>
      </c>
      <c r="BE29" s="1" t="s">
        <v>78</v>
      </c>
      <c r="BF29" s="1" t="s">
        <v>84</v>
      </c>
      <c r="BH29" s="1" t="s">
        <v>84</v>
      </c>
      <c r="BK29" s="1">
        <v>0</v>
      </c>
    </row>
    <row r="30" spans="1:63" ht="13.2" x14ac:dyDescent="0.25">
      <c r="A30" s="1" t="s">
        <v>121</v>
      </c>
      <c r="B30" s="1" t="s">
        <v>69</v>
      </c>
      <c r="C30" s="1" t="s">
        <v>65</v>
      </c>
      <c r="D30" s="1" t="s">
        <v>86</v>
      </c>
      <c r="E30" s="1" t="s">
        <v>67</v>
      </c>
      <c r="F30" s="1">
        <v>3</v>
      </c>
      <c r="G30" s="1" t="s">
        <v>68</v>
      </c>
      <c r="H30" s="1" t="s">
        <v>89</v>
      </c>
      <c r="I30" s="1" t="s">
        <v>126</v>
      </c>
      <c r="J30" s="3" t="s">
        <v>91</v>
      </c>
      <c r="K30" s="3" t="s">
        <v>106</v>
      </c>
      <c r="L30" s="1" t="s">
        <v>72</v>
      </c>
      <c r="M30" s="1" t="s">
        <v>73</v>
      </c>
      <c r="N30" s="1" t="s">
        <v>72</v>
      </c>
      <c r="O30" s="1" t="s">
        <v>101</v>
      </c>
      <c r="P30" s="1" t="s">
        <v>72</v>
      </c>
      <c r="Q30" s="1" t="s">
        <v>74</v>
      </c>
      <c r="R30" s="1" t="s">
        <v>72</v>
      </c>
      <c r="S30" s="1" t="s">
        <v>73</v>
      </c>
      <c r="T30" s="1" t="s">
        <v>94</v>
      </c>
      <c r="U30" s="1" t="s">
        <v>76</v>
      </c>
      <c r="V30" s="1" t="s">
        <v>76</v>
      </c>
      <c r="W30" s="1" t="s">
        <v>75</v>
      </c>
      <c r="X30" s="1" t="s">
        <v>75</v>
      </c>
      <c r="Y30" s="1" t="s">
        <v>75</v>
      </c>
      <c r="Z30" s="1" t="s">
        <v>77</v>
      </c>
      <c r="AA30" s="1" t="s">
        <v>77</v>
      </c>
      <c r="AB30" s="1" t="s">
        <v>75</v>
      </c>
      <c r="AC30" s="1" t="s">
        <v>78</v>
      </c>
      <c r="AD30" s="1" t="s">
        <v>78</v>
      </c>
      <c r="AE30" s="1" t="s">
        <v>80</v>
      </c>
      <c r="AF30" s="1" t="s">
        <v>80</v>
      </c>
      <c r="AG30" s="1" t="s">
        <v>96</v>
      </c>
      <c r="AH30" s="1" t="s">
        <v>96</v>
      </c>
      <c r="AI30" s="1" t="s">
        <v>96</v>
      </c>
      <c r="AJ30" s="1" t="s">
        <v>84</v>
      </c>
      <c r="AK30" s="1" t="s">
        <v>84</v>
      </c>
      <c r="AL30" s="1" t="s">
        <v>97</v>
      </c>
      <c r="AM30" s="1" t="s">
        <v>84</v>
      </c>
      <c r="AN30" s="1" t="s">
        <v>84</v>
      </c>
      <c r="AO30" s="1" t="s">
        <v>84</v>
      </c>
      <c r="AP30" s="1" t="s">
        <v>97</v>
      </c>
      <c r="AQ30" s="1" t="s">
        <v>78</v>
      </c>
      <c r="AR30" s="1" t="s">
        <v>97</v>
      </c>
      <c r="AS30" s="1" t="s">
        <v>84</v>
      </c>
      <c r="AT30" s="1" t="s">
        <v>97</v>
      </c>
      <c r="AU30" s="1" t="s">
        <v>78</v>
      </c>
      <c r="AV30" s="1" t="s">
        <v>84</v>
      </c>
      <c r="AW30" s="1" t="s">
        <v>84</v>
      </c>
      <c r="AX30" s="1" t="s">
        <v>97</v>
      </c>
      <c r="AY30" s="1" t="s">
        <v>84</v>
      </c>
      <c r="AZ30" s="1" t="s">
        <v>84</v>
      </c>
      <c r="BA30" s="1" t="s">
        <v>84</v>
      </c>
      <c r="BB30" s="1" t="s">
        <v>97</v>
      </c>
      <c r="BC30" s="1" t="s">
        <v>78</v>
      </c>
      <c r="BD30" s="1" t="s">
        <v>97</v>
      </c>
      <c r="BE30" s="1" t="s">
        <v>78</v>
      </c>
      <c r="BF30" s="1" t="s">
        <v>97</v>
      </c>
      <c r="BH30" s="1" t="s">
        <v>78</v>
      </c>
      <c r="BI30" s="1"/>
      <c r="BK30" s="1">
        <v>0</v>
      </c>
    </row>
    <row r="31" spans="1:63" ht="13.2" x14ac:dyDescent="0.25">
      <c r="A31" s="1" t="s">
        <v>121</v>
      </c>
      <c r="B31" s="1" t="s">
        <v>89</v>
      </c>
      <c r="C31" s="1" t="s">
        <v>65</v>
      </c>
      <c r="D31" s="1" t="s">
        <v>86</v>
      </c>
      <c r="E31" s="1" t="s">
        <v>67</v>
      </c>
      <c r="F31" s="1">
        <v>3</v>
      </c>
      <c r="G31" s="1" t="s">
        <v>99</v>
      </c>
      <c r="H31" s="1" t="s">
        <v>107</v>
      </c>
      <c r="I31" s="1" t="s">
        <v>108</v>
      </c>
      <c r="J31" s="3" t="s">
        <v>71</v>
      </c>
      <c r="K31" s="3" t="s">
        <v>71</v>
      </c>
      <c r="L31" s="1" t="s">
        <v>72</v>
      </c>
      <c r="M31" s="1" t="s">
        <v>73</v>
      </c>
      <c r="N31" s="1" t="s">
        <v>73</v>
      </c>
      <c r="O31" s="1" t="s">
        <v>101</v>
      </c>
      <c r="P31" s="1" t="s">
        <v>73</v>
      </c>
      <c r="Q31" s="1" t="s">
        <v>73</v>
      </c>
      <c r="R31" s="1" t="s">
        <v>72</v>
      </c>
      <c r="S31" s="1" t="s">
        <v>73</v>
      </c>
      <c r="T31" s="1" t="s">
        <v>94</v>
      </c>
      <c r="U31" s="1" t="s">
        <v>76</v>
      </c>
      <c r="V31" s="1" t="s">
        <v>76</v>
      </c>
      <c r="W31" s="1" t="s">
        <v>94</v>
      </c>
      <c r="X31" s="1" t="s">
        <v>75</v>
      </c>
      <c r="Y31" s="1" t="s">
        <v>75</v>
      </c>
      <c r="Z31" s="1" t="s">
        <v>94</v>
      </c>
      <c r="AA31" s="1" t="s">
        <v>75</v>
      </c>
      <c r="AB31" s="1" t="s">
        <v>75</v>
      </c>
      <c r="AC31" s="1" t="s">
        <v>78</v>
      </c>
      <c r="AD31" s="1" t="s">
        <v>78</v>
      </c>
      <c r="AE31" s="1" t="s">
        <v>79</v>
      </c>
      <c r="AF31" s="1" t="s">
        <v>79</v>
      </c>
      <c r="AG31" s="1" t="s">
        <v>96</v>
      </c>
      <c r="AH31" s="1" t="s">
        <v>96</v>
      </c>
      <c r="AI31" s="1" t="s">
        <v>96</v>
      </c>
      <c r="AJ31" s="1" t="s">
        <v>84</v>
      </c>
      <c r="AK31" s="1" t="s">
        <v>84</v>
      </c>
      <c r="AL31" s="1" t="s">
        <v>84</v>
      </c>
      <c r="AM31" s="1" t="s">
        <v>84</v>
      </c>
      <c r="AN31" s="1" t="s">
        <v>84</v>
      </c>
      <c r="AO31" s="1" t="s">
        <v>84</v>
      </c>
      <c r="AP31" s="1" t="s">
        <v>84</v>
      </c>
      <c r="AQ31" s="1" t="s">
        <v>84</v>
      </c>
      <c r="AR31" s="1" t="s">
        <v>84</v>
      </c>
      <c r="AS31" s="1" t="s">
        <v>84</v>
      </c>
      <c r="AT31" s="1" t="s">
        <v>84</v>
      </c>
      <c r="AU31" s="1" t="s">
        <v>84</v>
      </c>
      <c r="AV31" s="1" t="s">
        <v>84</v>
      </c>
      <c r="AW31" s="1" t="s">
        <v>84</v>
      </c>
      <c r="AX31" s="1" t="s">
        <v>84</v>
      </c>
      <c r="AY31" s="1" t="s">
        <v>84</v>
      </c>
      <c r="AZ31" s="1" t="s">
        <v>84</v>
      </c>
      <c r="BA31" s="1" t="s">
        <v>84</v>
      </c>
      <c r="BB31" s="1" t="s">
        <v>84</v>
      </c>
      <c r="BC31" s="1" t="s">
        <v>84</v>
      </c>
      <c r="BD31" s="1" t="s">
        <v>84</v>
      </c>
      <c r="BE31" s="1" t="s">
        <v>84</v>
      </c>
      <c r="BF31" s="1" t="s">
        <v>84</v>
      </c>
      <c r="BH31" s="1" t="s">
        <v>84</v>
      </c>
      <c r="BI31" s="1"/>
      <c r="BK31" s="1">
        <v>0</v>
      </c>
    </row>
    <row r="32" spans="1:63" ht="13.2" x14ac:dyDescent="0.25">
      <c r="A32" s="1" t="s">
        <v>121</v>
      </c>
      <c r="B32" s="1" t="s">
        <v>89</v>
      </c>
      <c r="C32" s="1" t="s">
        <v>65</v>
      </c>
      <c r="D32" s="1" t="s">
        <v>86</v>
      </c>
      <c r="E32" s="1" t="s">
        <v>110</v>
      </c>
      <c r="F32" s="1">
        <v>2</v>
      </c>
      <c r="G32" s="1" t="s">
        <v>68</v>
      </c>
      <c r="H32" s="1" t="s">
        <v>113</v>
      </c>
      <c r="I32" s="1" t="s">
        <v>135</v>
      </c>
      <c r="J32" s="3" t="s">
        <v>71</v>
      </c>
      <c r="K32" s="3" t="s">
        <v>71</v>
      </c>
      <c r="L32" s="1" t="s">
        <v>72</v>
      </c>
      <c r="M32" s="1" t="s">
        <v>72</v>
      </c>
      <c r="N32" s="1" t="s">
        <v>72</v>
      </c>
      <c r="O32" s="1" t="s">
        <v>73</v>
      </c>
      <c r="P32" s="1" t="s">
        <v>72</v>
      </c>
      <c r="Q32" s="1" t="s">
        <v>74</v>
      </c>
      <c r="R32" s="1" t="s">
        <v>72</v>
      </c>
      <c r="S32" s="1" t="s">
        <v>73</v>
      </c>
      <c r="T32" s="1" t="s">
        <v>76</v>
      </c>
      <c r="U32" s="1" t="s">
        <v>76</v>
      </c>
      <c r="V32" s="1" t="s">
        <v>76</v>
      </c>
      <c r="W32" s="1" t="s">
        <v>75</v>
      </c>
      <c r="X32" s="1" t="s">
        <v>75</v>
      </c>
      <c r="Y32" s="1" t="s">
        <v>75</v>
      </c>
      <c r="Z32" s="1" t="s">
        <v>77</v>
      </c>
      <c r="AA32" s="1" t="s">
        <v>75</v>
      </c>
      <c r="AB32" s="1" t="s">
        <v>75</v>
      </c>
      <c r="AC32" s="1" t="s">
        <v>78</v>
      </c>
      <c r="AD32" s="1" t="s">
        <v>78</v>
      </c>
      <c r="AE32" s="1" t="s">
        <v>79</v>
      </c>
      <c r="AF32" s="1" t="s">
        <v>80</v>
      </c>
      <c r="AG32" s="1" t="s">
        <v>96</v>
      </c>
      <c r="AH32" s="1" t="s">
        <v>96</v>
      </c>
      <c r="AI32" s="1" t="s">
        <v>96</v>
      </c>
      <c r="AJ32" s="1" t="s">
        <v>84</v>
      </c>
      <c r="AK32" s="1" t="s">
        <v>84</v>
      </c>
      <c r="AL32" s="1" t="s">
        <v>97</v>
      </c>
      <c r="AM32" s="1" t="s">
        <v>84</v>
      </c>
      <c r="AN32" s="1" t="s">
        <v>84</v>
      </c>
      <c r="AO32" s="1" t="s">
        <v>84</v>
      </c>
      <c r="AP32" s="1" t="s">
        <v>84</v>
      </c>
      <c r="AQ32" s="1" t="s">
        <v>84</v>
      </c>
      <c r="AR32" s="1" t="s">
        <v>84</v>
      </c>
      <c r="AS32" s="1" t="s">
        <v>78</v>
      </c>
      <c r="AT32" s="1" t="s">
        <v>97</v>
      </c>
      <c r="AU32" s="1" t="s">
        <v>84</v>
      </c>
      <c r="AV32" s="1" t="s">
        <v>84</v>
      </c>
      <c r="AW32" s="1" t="s">
        <v>84</v>
      </c>
      <c r="AX32" s="1" t="s">
        <v>84</v>
      </c>
      <c r="AY32" s="1" t="s">
        <v>84</v>
      </c>
      <c r="AZ32" s="1" t="s">
        <v>84</v>
      </c>
      <c r="BA32" s="1" t="s">
        <v>84</v>
      </c>
      <c r="BB32" s="1" t="s">
        <v>84</v>
      </c>
      <c r="BC32" s="1" t="s">
        <v>84</v>
      </c>
      <c r="BD32" s="1" t="s">
        <v>84</v>
      </c>
      <c r="BE32" s="1" t="s">
        <v>84</v>
      </c>
      <c r="BF32" s="1" t="s">
        <v>84</v>
      </c>
      <c r="BH32" s="1" t="s">
        <v>84</v>
      </c>
      <c r="BI32" s="1"/>
      <c r="BK32" s="1" t="s">
        <v>131</v>
      </c>
    </row>
    <row r="33" spans="1:63" ht="13.2" x14ac:dyDescent="0.25">
      <c r="A33" s="1" t="s">
        <v>121</v>
      </c>
      <c r="B33" s="1" t="s">
        <v>89</v>
      </c>
      <c r="C33" s="1" t="s">
        <v>65</v>
      </c>
      <c r="D33" s="1" t="s">
        <v>86</v>
      </c>
      <c r="E33" s="1" t="s">
        <v>110</v>
      </c>
      <c r="F33" s="1">
        <v>2</v>
      </c>
      <c r="G33" s="1" t="s">
        <v>99</v>
      </c>
      <c r="H33" s="1" t="s">
        <v>89</v>
      </c>
      <c r="I33" s="1" t="s">
        <v>100</v>
      </c>
      <c r="J33" s="3" t="s">
        <v>71</v>
      </c>
      <c r="K33" s="3" t="s">
        <v>71</v>
      </c>
      <c r="L33" s="1" t="s">
        <v>72</v>
      </c>
      <c r="M33" s="1" t="s">
        <v>74</v>
      </c>
      <c r="N33" s="1" t="s">
        <v>73</v>
      </c>
      <c r="O33" s="1" t="s">
        <v>73</v>
      </c>
      <c r="P33" s="1" t="s">
        <v>92</v>
      </c>
      <c r="Q33" s="1" t="s">
        <v>74</v>
      </c>
      <c r="R33" s="1" t="s">
        <v>72</v>
      </c>
      <c r="S33" s="1" t="s">
        <v>92</v>
      </c>
      <c r="T33" s="1" t="s">
        <v>77</v>
      </c>
      <c r="U33" s="1" t="s">
        <v>94</v>
      </c>
      <c r="V33" s="1" t="s">
        <v>76</v>
      </c>
      <c r="W33" s="1" t="s">
        <v>75</v>
      </c>
      <c r="X33" s="1" t="s">
        <v>75</v>
      </c>
      <c r="Y33" s="1" t="s">
        <v>75</v>
      </c>
      <c r="Z33" s="1" t="s">
        <v>75</v>
      </c>
      <c r="AA33" s="1" t="s">
        <v>75</v>
      </c>
      <c r="AB33" s="1" t="s">
        <v>75</v>
      </c>
      <c r="AC33" s="1" t="s">
        <v>78</v>
      </c>
      <c r="AD33" s="1" t="s">
        <v>78</v>
      </c>
      <c r="AE33" s="1" t="s">
        <v>80</v>
      </c>
      <c r="AF33" s="1" t="s">
        <v>80</v>
      </c>
      <c r="AG33" s="1" t="s">
        <v>96</v>
      </c>
      <c r="AH33" s="1" t="s">
        <v>96</v>
      </c>
      <c r="AI33" s="1" t="s">
        <v>96</v>
      </c>
      <c r="AJ33" s="1" t="s">
        <v>84</v>
      </c>
      <c r="AK33" s="1" t="s">
        <v>84</v>
      </c>
      <c r="AL33" s="1" t="s">
        <v>84</v>
      </c>
      <c r="AM33" s="1" t="s">
        <v>84</v>
      </c>
      <c r="AN33" s="1" t="s">
        <v>84</v>
      </c>
      <c r="AO33" s="1" t="s">
        <v>84</v>
      </c>
      <c r="AP33" s="1" t="s">
        <v>84</v>
      </c>
      <c r="AQ33" s="1" t="s">
        <v>84</v>
      </c>
      <c r="AR33" s="1" t="s">
        <v>84</v>
      </c>
      <c r="AS33" s="1" t="s">
        <v>84</v>
      </c>
      <c r="AT33" s="1" t="s">
        <v>84</v>
      </c>
      <c r="AU33" s="1" t="s">
        <v>84</v>
      </c>
      <c r="AV33" s="1" t="s">
        <v>84</v>
      </c>
      <c r="AW33" s="1" t="s">
        <v>84</v>
      </c>
      <c r="AX33" s="1" t="s">
        <v>84</v>
      </c>
      <c r="AY33" s="1" t="s">
        <v>84</v>
      </c>
      <c r="AZ33" s="1" t="s">
        <v>84</v>
      </c>
      <c r="BA33" s="1" t="s">
        <v>84</v>
      </c>
      <c r="BB33" s="1" t="s">
        <v>84</v>
      </c>
      <c r="BC33" s="1" t="s">
        <v>84</v>
      </c>
      <c r="BD33" s="1" t="s">
        <v>84</v>
      </c>
      <c r="BE33" s="1" t="s">
        <v>84</v>
      </c>
      <c r="BF33" s="1" t="s">
        <v>84</v>
      </c>
      <c r="BH33" s="1" t="s">
        <v>84</v>
      </c>
      <c r="BI33" s="1"/>
      <c r="BK33" s="1">
        <v>0</v>
      </c>
    </row>
    <row r="34" spans="1:63" ht="13.2" x14ac:dyDescent="0.25">
      <c r="A34" s="1" t="s">
        <v>121</v>
      </c>
      <c r="B34" s="1" t="s">
        <v>69</v>
      </c>
      <c r="C34" s="1" t="s">
        <v>65</v>
      </c>
      <c r="D34" s="1" t="s">
        <v>86</v>
      </c>
      <c r="E34" s="1" t="s">
        <v>110</v>
      </c>
      <c r="F34" s="1">
        <v>4</v>
      </c>
      <c r="G34" s="1" t="s">
        <v>68</v>
      </c>
      <c r="H34" s="1" t="s">
        <v>69</v>
      </c>
      <c r="I34" s="1" t="s">
        <v>136</v>
      </c>
      <c r="J34" s="3" t="s">
        <v>71</v>
      </c>
      <c r="K34" s="3" t="s">
        <v>71</v>
      </c>
      <c r="L34" s="1" t="s">
        <v>72</v>
      </c>
      <c r="M34" s="1" t="s">
        <v>74</v>
      </c>
      <c r="N34" s="1" t="s">
        <v>72</v>
      </c>
      <c r="O34" s="1" t="s">
        <v>74</v>
      </c>
      <c r="P34" s="1" t="s">
        <v>73</v>
      </c>
      <c r="Q34" s="1" t="s">
        <v>74</v>
      </c>
      <c r="R34" s="1" t="s">
        <v>72</v>
      </c>
      <c r="S34" s="1" t="s">
        <v>73</v>
      </c>
      <c r="T34" s="1" t="s">
        <v>76</v>
      </c>
      <c r="U34" s="1" t="s">
        <v>93</v>
      </c>
      <c r="V34" s="1" t="s">
        <v>77</v>
      </c>
      <c r="W34" s="1" t="s">
        <v>75</v>
      </c>
      <c r="X34" s="1" t="s">
        <v>75</v>
      </c>
      <c r="Y34" s="1" t="s">
        <v>75</v>
      </c>
      <c r="Z34" s="1" t="s">
        <v>77</v>
      </c>
      <c r="AA34" s="1" t="s">
        <v>75</v>
      </c>
      <c r="AB34" s="1" t="s">
        <v>75</v>
      </c>
      <c r="AC34" s="1" t="s">
        <v>78</v>
      </c>
      <c r="AD34" s="1" t="s">
        <v>78</v>
      </c>
      <c r="AE34" s="1" t="s">
        <v>120</v>
      </c>
      <c r="AF34" s="1" t="s">
        <v>79</v>
      </c>
      <c r="AG34" s="1" t="s">
        <v>96</v>
      </c>
      <c r="AH34" s="1" t="s">
        <v>96</v>
      </c>
      <c r="AI34" s="1" t="s">
        <v>96</v>
      </c>
      <c r="AJ34" s="1" t="s">
        <v>84</v>
      </c>
      <c r="AK34" s="1" t="s">
        <v>84</v>
      </c>
      <c r="AL34" s="1" t="s">
        <v>84</v>
      </c>
      <c r="AM34" s="1" t="s">
        <v>84</v>
      </c>
      <c r="AN34" s="1" t="s">
        <v>84</v>
      </c>
      <c r="AO34" s="1" t="s">
        <v>84</v>
      </c>
      <c r="AP34" s="1" t="s">
        <v>84</v>
      </c>
      <c r="AQ34" s="1" t="s">
        <v>84</v>
      </c>
      <c r="AR34" s="1" t="s">
        <v>84</v>
      </c>
      <c r="AS34" s="1" t="s">
        <v>84</v>
      </c>
      <c r="AT34" s="1" t="s">
        <v>84</v>
      </c>
      <c r="AU34" s="1" t="s">
        <v>84</v>
      </c>
      <c r="AV34" s="1" t="s">
        <v>84</v>
      </c>
      <c r="AW34" s="1" t="s">
        <v>84</v>
      </c>
      <c r="AX34" s="1" t="s">
        <v>84</v>
      </c>
      <c r="AY34" s="1" t="s">
        <v>84</v>
      </c>
      <c r="AZ34" s="1" t="s">
        <v>84</v>
      </c>
      <c r="BA34" s="1" t="s">
        <v>84</v>
      </c>
      <c r="BB34" s="1" t="s">
        <v>84</v>
      </c>
      <c r="BC34" s="1" t="s">
        <v>84</v>
      </c>
      <c r="BD34" s="1" t="s">
        <v>84</v>
      </c>
      <c r="BE34" s="1" t="s">
        <v>84</v>
      </c>
      <c r="BF34" s="1" t="s">
        <v>84</v>
      </c>
      <c r="BH34" s="1" t="s">
        <v>84</v>
      </c>
      <c r="BK34" s="1" t="s">
        <v>137</v>
      </c>
    </row>
    <row r="35" spans="1:63" ht="13.2" x14ac:dyDescent="0.25">
      <c r="A35" s="1" t="s">
        <v>121</v>
      </c>
      <c r="B35" s="1" t="s">
        <v>69</v>
      </c>
      <c r="C35" s="1" t="s">
        <v>65</v>
      </c>
      <c r="D35" s="1" t="s">
        <v>66</v>
      </c>
      <c r="E35" s="1" t="s">
        <v>67</v>
      </c>
      <c r="F35" s="1">
        <v>4</v>
      </c>
      <c r="G35" s="1" t="s">
        <v>99</v>
      </c>
      <c r="H35" s="1" t="s">
        <v>107</v>
      </c>
      <c r="I35" s="1" t="s">
        <v>138</v>
      </c>
      <c r="J35" s="3" t="s">
        <v>106</v>
      </c>
      <c r="K35" s="3" t="s">
        <v>91</v>
      </c>
      <c r="L35" s="1" t="s">
        <v>72</v>
      </c>
      <c r="M35" s="1" t="s">
        <v>72</v>
      </c>
      <c r="N35" s="1" t="s">
        <v>72</v>
      </c>
      <c r="O35" s="1" t="s">
        <v>101</v>
      </c>
      <c r="P35" s="1" t="s">
        <v>72</v>
      </c>
      <c r="Q35" s="1" t="s">
        <v>74</v>
      </c>
      <c r="R35" s="1" t="s">
        <v>72</v>
      </c>
      <c r="S35" s="1" t="s">
        <v>72</v>
      </c>
      <c r="T35" s="1" t="s">
        <v>94</v>
      </c>
      <c r="U35" s="1" t="s">
        <v>76</v>
      </c>
      <c r="V35" s="1" t="s">
        <v>77</v>
      </c>
      <c r="W35" s="1" t="s">
        <v>94</v>
      </c>
      <c r="X35" s="1" t="s">
        <v>75</v>
      </c>
      <c r="Y35" s="1" t="s">
        <v>75</v>
      </c>
      <c r="Z35" s="1" t="s">
        <v>93</v>
      </c>
      <c r="AA35" s="1" t="s">
        <v>76</v>
      </c>
      <c r="AB35" s="1" t="s">
        <v>75</v>
      </c>
      <c r="AC35" s="1" t="s">
        <v>78</v>
      </c>
      <c r="AD35" s="1" t="s">
        <v>78</v>
      </c>
      <c r="AE35" s="1" t="s">
        <v>79</v>
      </c>
      <c r="AF35" s="1" t="s">
        <v>80</v>
      </c>
      <c r="AG35" s="1" t="s">
        <v>82</v>
      </c>
      <c r="AH35" s="1" t="s">
        <v>82</v>
      </c>
      <c r="AI35" s="1" t="s">
        <v>96</v>
      </c>
      <c r="AJ35" s="1" t="s">
        <v>84</v>
      </c>
      <c r="AK35" s="1" t="s">
        <v>84</v>
      </c>
      <c r="AL35" s="1" t="s">
        <v>84</v>
      </c>
      <c r="AM35" s="1" t="s">
        <v>83</v>
      </c>
      <c r="AN35" s="1" t="s">
        <v>84</v>
      </c>
      <c r="AO35" s="1" t="s">
        <v>84</v>
      </c>
      <c r="AP35" s="1" t="s">
        <v>84</v>
      </c>
      <c r="AQ35" s="1" t="s">
        <v>83</v>
      </c>
      <c r="AR35" s="1" t="s">
        <v>83</v>
      </c>
      <c r="AS35" s="1" t="s">
        <v>78</v>
      </c>
      <c r="AT35" s="1" t="s">
        <v>97</v>
      </c>
      <c r="AU35" s="1" t="s">
        <v>83</v>
      </c>
      <c r="AV35" s="1" t="s">
        <v>84</v>
      </c>
      <c r="AW35" s="1" t="s">
        <v>84</v>
      </c>
      <c r="AX35" s="1" t="s">
        <v>97</v>
      </c>
      <c r="AY35" s="1" t="s">
        <v>83</v>
      </c>
      <c r="AZ35" s="1" t="s">
        <v>84</v>
      </c>
      <c r="BA35" s="1" t="s">
        <v>84</v>
      </c>
      <c r="BB35" s="1" t="s">
        <v>84</v>
      </c>
      <c r="BC35" s="1" t="s">
        <v>83</v>
      </c>
      <c r="BD35" s="1" t="s">
        <v>97</v>
      </c>
      <c r="BE35" s="1" t="s">
        <v>78</v>
      </c>
      <c r="BF35" s="1" t="s">
        <v>97</v>
      </c>
      <c r="BH35" s="1" t="s">
        <v>84</v>
      </c>
      <c r="BI35" s="1"/>
      <c r="BK35" s="1" t="s">
        <v>85</v>
      </c>
    </row>
    <row r="36" spans="1:63" ht="13.2" x14ac:dyDescent="0.25">
      <c r="A36" s="1" t="s">
        <v>121</v>
      </c>
      <c r="B36" s="1" t="s">
        <v>89</v>
      </c>
      <c r="C36" s="1" t="s">
        <v>65</v>
      </c>
      <c r="D36" s="1" t="s">
        <v>86</v>
      </c>
      <c r="E36" s="1" t="s">
        <v>67</v>
      </c>
      <c r="F36" s="1">
        <v>2</v>
      </c>
      <c r="G36" s="1" t="s">
        <v>99</v>
      </c>
      <c r="H36" s="1" t="s">
        <v>113</v>
      </c>
      <c r="I36" s="1" t="s">
        <v>139</v>
      </c>
      <c r="J36" s="3" t="s">
        <v>91</v>
      </c>
      <c r="K36" s="3" t="s">
        <v>91</v>
      </c>
      <c r="L36" s="1" t="s">
        <v>72</v>
      </c>
      <c r="M36" s="1" t="s">
        <v>73</v>
      </c>
      <c r="N36" s="1" t="s">
        <v>72</v>
      </c>
      <c r="O36" s="1" t="s">
        <v>73</v>
      </c>
      <c r="P36" s="1" t="s">
        <v>73</v>
      </c>
      <c r="Q36" s="1" t="s">
        <v>92</v>
      </c>
      <c r="R36" s="1" t="s">
        <v>72</v>
      </c>
      <c r="S36" s="1" t="s">
        <v>101</v>
      </c>
      <c r="T36" s="1" t="s">
        <v>76</v>
      </c>
      <c r="U36" s="1" t="s">
        <v>76</v>
      </c>
      <c r="V36" s="1" t="s">
        <v>93</v>
      </c>
      <c r="W36" s="1" t="s">
        <v>76</v>
      </c>
      <c r="X36" s="1" t="s">
        <v>76</v>
      </c>
      <c r="Y36" s="1" t="s">
        <v>77</v>
      </c>
      <c r="Z36" s="1" t="s">
        <v>94</v>
      </c>
      <c r="AA36" s="1" t="s">
        <v>77</v>
      </c>
      <c r="AB36" s="1" t="s">
        <v>75</v>
      </c>
      <c r="AC36" s="1" t="s">
        <v>78</v>
      </c>
      <c r="AD36" s="1" t="s">
        <v>78</v>
      </c>
      <c r="AE36" s="1" t="s">
        <v>79</v>
      </c>
      <c r="AF36" s="1" t="s">
        <v>120</v>
      </c>
      <c r="AG36" s="1" t="s">
        <v>81</v>
      </c>
      <c r="AH36" s="1" t="s">
        <v>81</v>
      </c>
      <c r="AI36" s="1" t="s">
        <v>96</v>
      </c>
      <c r="AJ36" s="1" t="s">
        <v>84</v>
      </c>
      <c r="AK36" s="1" t="s">
        <v>84</v>
      </c>
      <c r="AL36" s="1" t="s">
        <v>84</v>
      </c>
      <c r="AM36" s="1" t="s">
        <v>84</v>
      </c>
      <c r="AN36" s="1" t="s">
        <v>84</v>
      </c>
      <c r="AO36" s="1" t="s">
        <v>84</v>
      </c>
      <c r="AP36" s="1" t="s">
        <v>84</v>
      </c>
      <c r="AQ36" s="1" t="s">
        <v>84</v>
      </c>
      <c r="AR36" s="1" t="s">
        <v>84</v>
      </c>
      <c r="AS36" s="1" t="s">
        <v>84</v>
      </c>
      <c r="AT36" s="1" t="s">
        <v>84</v>
      </c>
      <c r="AU36" s="1" t="s">
        <v>84</v>
      </c>
      <c r="AV36" s="1" t="s">
        <v>84</v>
      </c>
      <c r="AW36" s="1" t="s">
        <v>84</v>
      </c>
      <c r="AX36" s="1" t="s">
        <v>84</v>
      </c>
      <c r="AY36" s="1" t="s">
        <v>84</v>
      </c>
      <c r="AZ36" s="1" t="s">
        <v>84</v>
      </c>
      <c r="BA36" s="1" t="s">
        <v>84</v>
      </c>
      <c r="BB36" s="1" t="s">
        <v>84</v>
      </c>
      <c r="BC36" s="1" t="s">
        <v>84</v>
      </c>
      <c r="BD36" s="1" t="s">
        <v>84</v>
      </c>
      <c r="BE36" s="1" t="s">
        <v>84</v>
      </c>
      <c r="BF36" s="1" t="s">
        <v>84</v>
      </c>
      <c r="BH36" s="1" t="s">
        <v>84</v>
      </c>
      <c r="BI36" s="1"/>
      <c r="BK36" s="1">
        <v>0</v>
      </c>
    </row>
    <row r="37" spans="1:63" ht="13.2" x14ac:dyDescent="0.25">
      <c r="A37" s="1" t="s">
        <v>121</v>
      </c>
      <c r="B37" s="1" t="s">
        <v>89</v>
      </c>
      <c r="C37" s="1" t="s">
        <v>65</v>
      </c>
      <c r="D37" s="1" t="s">
        <v>86</v>
      </c>
      <c r="E37" s="1" t="s">
        <v>67</v>
      </c>
      <c r="F37" s="1">
        <v>1</v>
      </c>
      <c r="G37" s="1" t="s">
        <v>99</v>
      </c>
      <c r="H37" s="1" t="s">
        <v>89</v>
      </c>
      <c r="I37" s="1" t="s">
        <v>122</v>
      </c>
      <c r="J37" s="3" t="s">
        <v>91</v>
      </c>
      <c r="K37" s="3" t="s">
        <v>106</v>
      </c>
      <c r="L37" s="1" t="s">
        <v>72</v>
      </c>
      <c r="M37" s="1" t="s">
        <v>72</v>
      </c>
      <c r="N37" s="1" t="s">
        <v>72</v>
      </c>
      <c r="O37" s="1" t="s">
        <v>101</v>
      </c>
      <c r="P37" s="1" t="s">
        <v>72</v>
      </c>
      <c r="Q37" s="1" t="s">
        <v>101</v>
      </c>
      <c r="R37" s="1" t="s">
        <v>72</v>
      </c>
      <c r="S37" s="1" t="s">
        <v>72</v>
      </c>
      <c r="T37" s="1" t="s">
        <v>94</v>
      </c>
      <c r="U37" s="1" t="s">
        <v>76</v>
      </c>
      <c r="V37" s="1" t="s">
        <v>76</v>
      </c>
      <c r="W37" s="1" t="s">
        <v>75</v>
      </c>
      <c r="X37" s="1" t="s">
        <v>77</v>
      </c>
      <c r="Y37" s="1" t="s">
        <v>75</v>
      </c>
      <c r="Z37" s="1" t="s">
        <v>75</v>
      </c>
      <c r="AA37" s="1" t="s">
        <v>75</v>
      </c>
      <c r="AB37" s="1" t="s">
        <v>75</v>
      </c>
      <c r="AC37" s="1" t="s">
        <v>78</v>
      </c>
      <c r="AD37" s="1" t="s">
        <v>78</v>
      </c>
      <c r="AE37" s="1" t="s">
        <v>80</v>
      </c>
      <c r="AF37" s="1" t="s">
        <v>95</v>
      </c>
      <c r="AG37" s="1" t="s">
        <v>82</v>
      </c>
      <c r="AH37" s="1" t="s">
        <v>82</v>
      </c>
      <c r="AI37" s="1" t="s">
        <v>82</v>
      </c>
      <c r="AJ37" s="1" t="s">
        <v>97</v>
      </c>
      <c r="AK37" s="1" t="s">
        <v>97</v>
      </c>
      <c r="AL37" s="1" t="s">
        <v>97</v>
      </c>
      <c r="AM37" s="1" t="s">
        <v>97</v>
      </c>
      <c r="AN37" s="1" t="s">
        <v>97</v>
      </c>
      <c r="AO37" s="1" t="s">
        <v>97</v>
      </c>
      <c r="AP37" s="1" t="s">
        <v>97</v>
      </c>
      <c r="AQ37" s="1" t="s">
        <v>97</v>
      </c>
      <c r="AR37" s="1" t="s">
        <v>97</v>
      </c>
      <c r="AS37" s="1" t="s">
        <v>78</v>
      </c>
      <c r="AT37" s="1" t="s">
        <v>97</v>
      </c>
      <c r="AU37" s="1" t="s">
        <v>97</v>
      </c>
      <c r="AV37" s="1" t="s">
        <v>97</v>
      </c>
      <c r="AW37" s="1" t="s">
        <v>97</v>
      </c>
      <c r="AX37" s="1" t="s">
        <v>97</v>
      </c>
      <c r="AY37" s="1" t="s">
        <v>97</v>
      </c>
      <c r="BA37" s="1" t="s">
        <v>97</v>
      </c>
      <c r="BB37" s="1" t="s">
        <v>97</v>
      </c>
      <c r="BC37" s="1" t="s">
        <v>97</v>
      </c>
      <c r="BD37" s="1" t="s">
        <v>97</v>
      </c>
      <c r="BE37" s="1" t="s">
        <v>78</v>
      </c>
      <c r="BF37" s="1" t="s">
        <v>97</v>
      </c>
      <c r="BH37" s="1" t="s">
        <v>97</v>
      </c>
      <c r="BI37" s="1"/>
      <c r="BK37" s="1">
        <v>0</v>
      </c>
    </row>
    <row r="38" spans="1:63" ht="13.2"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83BAA-6089-4EB7-800D-3AAABDB859D7}">
  <sheetPr>
    <outlinePr summaryBelow="0" summaryRight="0"/>
  </sheetPr>
  <dimension ref="A1:BR38"/>
  <sheetViews>
    <sheetView topLeftCell="L1" workbookViewId="0">
      <pane ySplit="2" topLeftCell="A6" activePane="bottomLeft" state="frozen"/>
      <selection pane="bottomLeft" activeCell="C3" sqref="C3"/>
    </sheetView>
  </sheetViews>
  <sheetFormatPr defaultColWidth="12.5546875" defaultRowHeight="15.75" customHeight="1" x14ac:dyDescent="0.25"/>
  <cols>
    <col min="1" max="1" width="25.88671875" bestFit="1" customWidth="1"/>
    <col min="2" max="3" width="34.44140625" bestFit="1" customWidth="1"/>
    <col min="4" max="4" width="33.6640625" bestFit="1" customWidth="1"/>
    <col min="5" max="5" width="62.6640625" bestFit="1" customWidth="1"/>
    <col min="6" max="6" width="37.5546875" bestFit="1" customWidth="1"/>
    <col min="7" max="7" width="27.33203125" bestFit="1" customWidth="1"/>
    <col min="8" max="8" width="55.21875" bestFit="1" customWidth="1"/>
    <col min="9" max="9" width="47.77734375" bestFit="1" customWidth="1"/>
    <col min="10" max="11" width="95.21875" bestFit="1" customWidth="1"/>
    <col min="12" max="12" width="48.21875" customWidth="1"/>
    <col min="13" max="13" width="45.6640625" customWidth="1"/>
    <col min="14" max="14" width="34.88671875" customWidth="1"/>
    <col min="15" max="15" width="28.44140625" customWidth="1"/>
    <col min="16" max="16" width="107.6640625" bestFit="1" customWidth="1"/>
    <col min="17" max="17" width="94.21875" bestFit="1" customWidth="1"/>
    <col min="18" max="18" width="112.77734375" bestFit="1" customWidth="1"/>
    <col min="19" max="19" width="94.21875" bestFit="1" customWidth="1"/>
    <col min="20" max="20" width="99.5546875" bestFit="1" customWidth="1"/>
    <col min="21" max="21" width="108.109375" bestFit="1" customWidth="1"/>
    <col min="22" max="22" width="130.44140625" bestFit="1" customWidth="1"/>
    <col min="23" max="23" width="123" bestFit="1" customWidth="1"/>
    <col min="24" max="24" width="136.77734375" bestFit="1" customWidth="1"/>
    <col min="25" max="25" width="144.5546875" bestFit="1" customWidth="1"/>
    <col min="26" max="26" width="128.21875" bestFit="1" customWidth="1"/>
    <col min="27" max="27" width="112.77734375" bestFit="1" customWidth="1"/>
    <col min="28" max="28" width="118.44140625" bestFit="1" customWidth="1"/>
    <col min="29" max="29" width="119.33203125" bestFit="1" customWidth="1"/>
    <col min="30" max="30" width="115.6640625" bestFit="1" customWidth="1"/>
    <col min="31" max="31" width="81.21875" bestFit="1" customWidth="1"/>
    <col min="32" max="32" width="105" bestFit="1" customWidth="1"/>
    <col min="33" max="33" width="60.21875" bestFit="1" customWidth="1"/>
    <col min="34" max="34" width="72.44140625" bestFit="1" customWidth="1"/>
    <col min="35" max="35" width="96.77734375" bestFit="1" customWidth="1"/>
    <col min="36" max="36" width="93.77734375" bestFit="1" customWidth="1"/>
    <col min="37" max="37" width="107.77734375" bestFit="1" customWidth="1"/>
    <col min="38" max="38" width="104.77734375" bestFit="1" customWidth="1"/>
    <col min="39" max="39" width="154.77734375" bestFit="1" customWidth="1"/>
    <col min="40" max="40" width="113.88671875" bestFit="1" customWidth="1"/>
    <col min="41" max="41" width="116.109375" bestFit="1" customWidth="1"/>
    <col min="42" max="42" width="127.44140625" bestFit="1" customWidth="1"/>
    <col min="43" max="43" width="124.88671875" bestFit="1" customWidth="1"/>
    <col min="44" max="44" width="118.77734375" bestFit="1" customWidth="1"/>
    <col min="45" max="45" width="141.21875" bestFit="1" customWidth="1"/>
    <col min="46" max="46" width="130.44140625" bestFit="1" customWidth="1"/>
    <col min="47" max="47" width="120.21875" bestFit="1" customWidth="1"/>
    <col min="48" max="48" width="119.21875" bestFit="1" customWidth="1"/>
    <col min="49" max="49" width="159.88671875" bestFit="1" customWidth="1"/>
    <col min="50" max="50" width="88.77734375" bestFit="1" customWidth="1"/>
    <col min="51" max="51" width="116.33203125" bestFit="1" customWidth="1"/>
    <col min="52" max="52" width="98" bestFit="1" customWidth="1"/>
    <col min="53" max="53" width="101.21875" bestFit="1" customWidth="1"/>
    <col min="54" max="54" width="112.5546875" bestFit="1" customWidth="1"/>
    <col min="55" max="55" width="110" bestFit="1" customWidth="1"/>
    <col min="56" max="56" width="101.77734375" bestFit="1" customWidth="1"/>
    <col min="57" max="57" width="125.109375" bestFit="1" customWidth="1"/>
    <col min="58" max="58" width="115.6640625" bestFit="1" customWidth="1"/>
    <col min="59" max="59" width="105.21875" bestFit="1" customWidth="1"/>
    <col min="60" max="60" width="104.77734375" bestFit="1" customWidth="1"/>
    <col min="61" max="61" width="111.77734375" bestFit="1" customWidth="1"/>
    <col min="62" max="62" width="145.109375" bestFit="1" customWidth="1"/>
    <col min="63" max="63" width="211.21875" bestFit="1" customWidth="1"/>
    <col min="64" max="64" width="219.44140625" bestFit="1" customWidth="1"/>
    <col min="65" max="65" width="45.88671875" customWidth="1"/>
    <col min="66" max="71" width="18.88671875" customWidth="1"/>
  </cols>
  <sheetData>
    <row r="1" spans="1:70" ht="15.75" customHeight="1" x14ac:dyDescent="0.25">
      <c r="A1" s="5">
        <v>2</v>
      </c>
      <c r="B1" s="5">
        <v>3</v>
      </c>
      <c r="C1" s="5">
        <v>3</v>
      </c>
      <c r="D1" s="5">
        <v>4</v>
      </c>
      <c r="E1" s="5">
        <v>5</v>
      </c>
      <c r="F1" s="5">
        <v>6</v>
      </c>
      <c r="G1" s="5">
        <v>7</v>
      </c>
      <c r="H1" s="5">
        <v>8</v>
      </c>
      <c r="I1" s="5">
        <v>9</v>
      </c>
      <c r="J1" s="5">
        <v>10</v>
      </c>
      <c r="K1" s="5"/>
      <c r="L1" s="5">
        <v>11</v>
      </c>
      <c r="M1" s="5">
        <v>12</v>
      </c>
      <c r="N1" s="5">
        <v>13</v>
      </c>
      <c r="O1" s="5">
        <v>14</v>
      </c>
      <c r="P1" s="5">
        <v>15</v>
      </c>
      <c r="Q1" s="5">
        <v>16</v>
      </c>
      <c r="R1" s="5">
        <v>17</v>
      </c>
      <c r="S1" s="5">
        <v>18</v>
      </c>
      <c r="T1" s="5">
        <v>19</v>
      </c>
      <c r="U1" s="5">
        <v>20</v>
      </c>
      <c r="V1" s="5">
        <v>21</v>
      </c>
      <c r="W1" s="5">
        <v>22</v>
      </c>
      <c r="X1" s="5">
        <v>23</v>
      </c>
      <c r="Y1" s="5">
        <v>24</v>
      </c>
      <c r="Z1" s="5">
        <v>25</v>
      </c>
      <c r="AA1" s="5">
        <v>26</v>
      </c>
      <c r="AB1" s="5">
        <v>27</v>
      </c>
      <c r="AC1" s="5">
        <v>28</v>
      </c>
      <c r="AD1" s="5">
        <v>29</v>
      </c>
      <c r="AE1" s="5">
        <v>30</v>
      </c>
      <c r="AF1" s="5">
        <v>31</v>
      </c>
      <c r="AG1" s="5">
        <v>32</v>
      </c>
      <c r="AH1" s="5">
        <v>33</v>
      </c>
      <c r="AI1" s="5">
        <v>34</v>
      </c>
      <c r="AJ1" s="5">
        <v>35</v>
      </c>
      <c r="AK1" s="5">
        <v>36</v>
      </c>
      <c r="AL1" s="5">
        <v>37</v>
      </c>
      <c r="AM1" s="5">
        <v>38</v>
      </c>
      <c r="AN1" s="5">
        <v>39</v>
      </c>
      <c r="AO1" s="5">
        <v>40</v>
      </c>
      <c r="AP1" s="5">
        <v>41</v>
      </c>
      <c r="AQ1" s="5">
        <v>42</v>
      </c>
      <c r="AR1" s="5">
        <v>43</v>
      </c>
      <c r="AS1" s="5">
        <v>44</v>
      </c>
      <c r="AT1" s="5">
        <v>45</v>
      </c>
      <c r="AU1" s="5">
        <v>46</v>
      </c>
      <c r="AV1" s="5">
        <v>47</v>
      </c>
      <c r="AW1" s="5">
        <v>48</v>
      </c>
      <c r="AX1" s="5">
        <v>49</v>
      </c>
      <c r="AY1" s="5">
        <v>50</v>
      </c>
      <c r="AZ1" s="5">
        <v>51</v>
      </c>
      <c r="BA1" s="5">
        <v>52</v>
      </c>
      <c r="BB1" s="5">
        <v>53</v>
      </c>
      <c r="BC1" s="5">
        <v>54</v>
      </c>
      <c r="BD1" s="5">
        <v>55</v>
      </c>
      <c r="BE1" s="5">
        <v>56</v>
      </c>
      <c r="BF1" s="5">
        <v>57</v>
      </c>
      <c r="BG1" s="5">
        <v>58</v>
      </c>
      <c r="BH1" s="5">
        <v>59</v>
      </c>
      <c r="BI1" s="5">
        <v>60</v>
      </c>
      <c r="BJ1" s="5">
        <v>61</v>
      </c>
      <c r="BK1" s="5"/>
      <c r="BL1" s="5">
        <v>63</v>
      </c>
      <c r="BM1" s="5">
        <v>64</v>
      </c>
    </row>
    <row r="2" spans="1:70" ht="13.2" x14ac:dyDescent="0.25">
      <c r="A2" s="1" t="s">
        <v>1</v>
      </c>
      <c r="B2" s="1" t="s">
        <v>2</v>
      </c>
      <c r="C2" s="1" t="s">
        <v>2</v>
      </c>
      <c r="D2" s="1" t="s">
        <v>3</v>
      </c>
      <c r="E2" s="1" t="s">
        <v>4</v>
      </c>
      <c r="F2" s="1" t="s">
        <v>5</v>
      </c>
      <c r="G2" s="2" t="s">
        <v>6</v>
      </c>
      <c r="H2" s="1" t="s">
        <v>7</v>
      </c>
      <c r="I2" s="1" t="s">
        <v>8</v>
      </c>
      <c r="J2" s="1" t="s">
        <v>9</v>
      </c>
      <c r="K2" s="1" t="s">
        <v>9</v>
      </c>
      <c r="L2" s="1" t="s">
        <v>10</v>
      </c>
      <c r="M2" s="1" t="s">
        <v>11</v>
      </c>
      <c r="N2" s="1" t="s">
        <v>12</v>
      </c>
      <c r="O2" s="1" t="s">
        <v>13</v>
      </c>
      <c r="P2" s="1" t="s">
        <v>14</v>
      </c>
      <c r="Q2" s="1" t="s">
        <v>15</v>
      </c>
      <c r="R2" s="1" t="s">
        <v>16</v>
      </c>
      <c r="S2" s="1" t="s">
        <v>17</v>
      </c>
      <c r="T2" s="1" t="s">
        <v>18</v>
      </c>
      <c r="U2" s="1" t="s">
        <v>19</v>
      </c>
      <c r="V2" s="1" t="s">
        <v>20</v>
      </c>
      <c r="W2" s="1" t="s">
        <v>21</v>
      </c>
      <c r="X2" s="1" t="s">
        <v>22</v>
      </c>
      <c r="Y2" s="1" t="s">
        <v>23</v>
      </c>
      <c r="Z2" s="1" t="s">
        <v>24</v>
      </c>
      <c r="AA2" s="1" t="s">
        <v>25</v>
      </c>
      <c r="AB2" s="1" t="s">
        <v>26</v>
      </c>
      <c r="AC2" s="1" t="s">
        <v>27</v>
      </c>
      <c r="AD2" s="1" t="s">
        <v>28</v>
      </c>
      <c r="AE2" s="1" t="s">
        <v>29</v>
      </c>
      <c r="AF2" s="1" t="s">
        <v>30</v>
      </c>
      <c r="AG2" s="1" t="s">
        <v>31</v>
      </c>
      <c r="AH2" s="1" t="s">
        <v>32</v>
      </c>
      <c r="AI2" s="1" t="s">
        <v>33</v>
      </c>
      <c r="AJ2" s="1" t="s">
        <v>34</v>
      </c>
      <c r="AK2" s="1" t="s">
        <v>35</v>
      </c>
      <c r="AL2" s="1" t="s">
        <v>36</v>
      </c>
      <c r="AM2" s="1" t="s">
        <v>37</v>
      </c>
      <c r="AN2" s="1" t="s">
        <v>38</v>
      </c>
      <c r="AO2" s="1" t="s">
        <v>39</v>
      </c>
      <c r="AP2" s="1" t="s">
        <v>40</v>
      </c>
      <c r="AQ2" s="1" t="s">
        <v>41</v>
      </c>
      <c r="AR2" s="1" t="s">
        <v>42</v>
      </c>
      <c r="AS2" s="1" t="s">
        <v>43</v>
      </c>
      <c r="AT2" s="1" t="s">
        <v>44</v>
      </c>
      <c r="AU2" s="1" t="s">
        <v>45</v>
      </c>
      <c r="AV2" s="1" t="s">
        <v>46</v>
      </c>
      <c r="AW2" s="1" t="s">
        <v>47</v>
      </c>
      <c r="AX2" s="1" t="s">
        <v>48</v>
      </c>
      <c r="AY2" s="1" t="s">
        <v>49</v>
      </c>
      <c r="AZ2" s="1" t="s">
        <v>50</v>
      </c>
      <c r="BA2" s="1" t="s">
        <v>51</v>
      </c>
      <c r="BB2" s="1" t="s">
        <v>52</v>
      </c>
      <c r="BC2" s="1" t="s">
        <v>53</v>
      </c>
      <c r="BD2" s="1" t="s">
        <v>54</v>
      </c>
      <c r="BE2" s="1" t="s">
        <v>55</v>
      </c>
      <c r="BF2" s="1" t="s">
        <v>56</v>
      </c>
      <c r="BG2" s="1" t="s">
        <v>57</v>
      </c>
      <c r="BH2" s="1" t="s">
        <v>58</v>
      </c>
      <c r="BI2" s="1" t="s">
        <v>59</v>
      </c>
      <c r="BJ2" s="1" t="s">
        <v>60</v>
      </c>
      <c r="BK2" s="1" t="s">
        <v>157</v>
      </c>
      <c r="BL2" s="1" t="s">
        <v>158</v>
      </c>
      <c r="BM2" s="1" t="s">
        <v>159</v>
      </c>
      <c r="BN2" s="1" t="s">
        <v>154</v>
      </c>
      <c r="BO2" s="1" t="s">
        <v>153</v>
      </c>
      <c r="BP2" s="1" t="s">
        <v>155</v>
      </c>
      <c r="BQ2" s="1" t="s">
        <v>156</v>
      </c>
      <c r="BR2" s="1" t="s">
        <v>163</v>
      </c>
    </row>
    <row r="3" spans="1:70" ht="13.2" x14ac:dyDescent="0.25">
      <c r="A3" s="1">
        <v>1</v>
      </c>
      <c r="B3" s="1">
        <v>6</v>
      </c>
      <c r="C3" s="1" t="s">
        <v>64</v>
      </c>
      <c r="D3" s="1" t="s">
        <v>65</v>
      </c>
      <c r="E3" s="1" t="s">
        <v>66</v>
      </c>
      <c r="F3" s="1" t="s">
        <v>67</v>
      </c>
      <c r="G3" s="1">
        <v>2</v>
      </c>
      <c r="H3" s="1" t="s">
        <v>68</v>
      </c>
      <c r="I3" s="1">
        <v>5</v>
      </c>
      <c r="J3" s="1" t="s">
        <v>70</v>
      </c>
      <c r="K3" s="1">
        <v>3</v>
      </c>
      <c r="L3" s="1">
        <v>1</v>
      </c>
      <c r="M3" s="3">
        <v>1</v>
      </c>
      <c r="N3" s="1">
        <v>1</v>
      </c>
      <c r="O3" s="1">
        <v>1</v>
      </c>
      <c r="P3" s="1">
        <v>1</v>
      </c>
      <c r="Q3" s="1">
        <v>4</v>
      </c>
      <c r="R3" s="1">
        <v>1</v>
      </c>
      <c r="S3" s="1">
        <v>5</v>
      </c>
      <c r="T3" s="1">
        <v>1</v>
      </c>
      <c r="U3" s="1">
        <v>4</v>
      </c>
      <c r="V3" s="1">
        <v>1</v>
      </c>
      <c r="W3" s="1">
        <v>3</v>
      </c>
      <c r="X3" s="1">
        <v>1</v>
      </c>
      <c r="Y3" s="1">
        <v>1</v>
      </c>
      <c r="Z3" s="1">
        <v>2</v>
      </c>
      <c r="AA3" s="1">
        <v>1</v>
      </c>
      <c r="AB3" s="1">
        <v>1</v>
      </c>
      <c r="AC3" s="1">
        <v>1</v>
      </c>
      <c r="AD3" s="1">
        <v>2</v>
      </c>
      <c r="AE3" s="1">
        <v>1</v>
      </c>
      <c r="AF3" s="1">
        <v>1</v>
      </c>
      <c r="AG3" s="1" t="s">
        <v>79</v>
      </c>
      <c r="AH3" s="1" t="s">
        <v>80</v>
      </c>
      <c r="AI3" s="1" t="s">
        <v>81</v>
      </c>
      <c r="AJ3" s="1" t="s">
        <v>82</v>
      </c>
      <c r="AK3" s="1" t="s">
        <v>82</v>
      </c>
      <c r="AL3" s="1">
        <v>1</v>
      </c>
      <c r="AM3" s="1">
        <v>1</v>
      </c>
      <c r="AN3" s="1">
        <v>0</v>
      </c>
      <c r="AO3" s="1">
        <v>0</v>
      </c>
      <c r="AP3" s="1">
        <v>1</v>
      </c>
      <c r="AQ3" s="1">
        <v>1</v>
      </c>
      <c r="AR3" s="1">
        <v>1</v>
      </c>
      <c r="AS3" s="1">
        <v>1</v>
      </c>
      <c r="AT3" s="1">
        <v>1</v>
      </c>
      <c r="AU3" s="1">
        <v>1</v>
      </c>
      <c r="AV3" s="1">
        <v>1</v>
      </c>
      <c r="AW3" s="1">
        <v>0</v>
      </c>
      <c r="AX3" s="1">
        <v>1</v>
      </c>
      <c r="AY3" s="1">
        <v>1</v>
      </c>
      <c r="AZ3" s="1">
        <v>0</v>
      </c>
      <c r="BA3" s="1">
        <v>0</v>
      </c>
      <c r="BB3" s="1">
        <v>0</v>
      </c>
      <c r="BC3" s="1">
        <v>0</v>
      </c>
      <c r="BD3" s="1">
        <v>1</v>
      </c>
      <c r="BE3" s="1">
        <v>1</v>
      </c>
      <c r="BF3" s="1">
        <v>1</v>
      </c>
      <c r="BG3" s="1">
        <v>1</v>
      </c>
      <c r="BH3" s="1">
        <v>0</v>
      </c>
      <c r="BJ3" s="1">
        <v>0</v>
      </c>
      <c r="BK3" s="1"/>
      <c r="BM3" s="1" t="s">
        <v>85</v>
      </c>
      <c r="BN3">
        <f>SUM(V3:AD3)</f>
        <v>13</v>
      </c>
      <c r="BO3">
        <f>SUM(N3:T3)</f>
        <v>14</v>
      </c>
      <c r="BP3">
        <f>VALUE(BN3)</f>
        <v>13</v>
      </c>
      <c r="BQ3">
        <f>VALUE(BO3)</f>
        <v>14</v>
      </c>
      <c r="BR3">
        <f>SUM(AL3:BJ3)</f>
        <v>15</v>
      </c>
    </row>
    <row r="4" spans="1:70" ht="13.2" x14ac:dyDescent="0.25">
      <c r="A4" s="1">
        <v>1</v>
      </c>
      <c r="B4" s="1">
        <v>6</v>
      </c>
      <c r="C4" s="1" t="s">
        <v>64</v>
      </c>
      <c r="D4" s="1" t="s">
        <v>65</v>
      </c>
      <c r="E4" s="1" t="s">
        <v>86</v>
      </c>
      <c r="F4" s="1" t="s">
        <v>67</v>
      </c>
      <c r="G4" s="1" t="s">
        <v>87</v>
      </c>
      <c r="H4" s="1" t="s">
        <v>88</v>
      </c>
      <c r="I4" s="1">
        <v>4</v>
      </c>
      <c r="J4" s="1" t="s">
        <v>90</v>
      </c>
      <c r="K4" s="1">
        <v>6</v>
      </c>
      <c r="L4" s="1">
        <v>2</v>
      </c>
      <c r="M4" s="3">
        <v>2</v>
      </c>
      <c r="N4" s="1">
        <v>2</v>
      </c>
      <c r="O4" s="1">
        <v>2</v>
      </c>
      <c r="P4" s="1">
        <v>1</v>
      </c>
      <c r="Q4" s="1">
        <v>5</v>
      </c>
      <c r="R4" s="1">
        <v>4</v>
      </c>
      <c r="S4" s="1">
        <v>5</v>
      </c>
      <c r="T4" s="1">
        <v>1</v>
      </c>
      <c r="U4" s="1">
        <v>1</v>
      </c>
      <c r="V4" s="1">
        <v>5</v>
      </c>
      <c r="W4" s="1">
        <v>4</v>
      </c>
      <c r="X4" s="1">
        <v>4</v>
      </c>
      <c r="Y4" s="1">
        <v>1</v>
      </c>
      <c r="Z4" s="1">
        <v>1</v>
      </c>
      <c r="AA4" s="1">
        <v>1</v>
      </c>
      <c r="AB4" s="1">
        <v>1</v>
      </c>
      <c r="AC4" s="1">
        <v>1</v>
      </c>
      <c r="AD4" s="1">
        <v>3</v>
      </c>
      <c r="AE4" s="1">
        <v>1</v>
      </c>
      <c r="AF4" s="1">
        <v>1</v>
      </c>
      <c r="AG4" s="1" t="s">
        <v>95</v>
      </c>
      <c r="AH4" s="1" t="s">
        <v>80</v>
      </c>
      <c r="AI4" s="1" t="s">
        <v>96</v>
      </c>
      <c r="AJ4" s="1" t="s">
        <v>96</v>
      </c>
      <c r="AK4" s="1" t="s">
        <v>96</v>
      </c>
      <c r="AL4" s="1">
        <v>1</v>
      </c>
      <c r="AM4" s="1">
        <v>0</v>
      </c>
      <c r="AN4" s="1">
        <v>0</v>
      </c>
      <c r="AO4" s="1">
        <v>0</v>
      </c>
      <c r="AP4" s="1">
        <v>0</v>
      </c>
      <c r="AQ4" s="1">
        <v>0</v>
      </c>
      <c r="AR4" s="1">
        <v>0</v>
      </c>
      <c r="AS4" s="1">
        <v>1</v>
      </c>
      <c r="AT4" s="1">
        <v>0</v>
      </c>
      <c r="AU4" s="1">
        <v>1</v>
      </c>
      <c r="AV4" s="1">
        <v>0</v>
      </c>
      <c r="AW4" s="1">
        <v>0</v>
      </c>
      <c r="AX4" s="1">
        <v>0</v>
      </c>
      <c r="AY4" s="1">
        <v>0</v>
      </c>
      <c r="AZ4" s="1">
        <v>0</v>
      </c>
      <c r="BA4" s="1">
        <v>0</v>
      </c>
      <c r="BB4" s="1">
        <v>0</v>
      </c>
      <c r="BC4" s="1">
        <v>0</v>
      </c>
      <c r="BD4" s="1">
        <v>0</v>
      </c>
      <c r="BE4" s="1">
        <v>0</v>
      </c>
      <c r="BF4" s="1">
        <v>0</v>
      </c>
      <c r="BG4" s="1">
        <v>0</v>
      </c>
      <c r="BH4" s="1">
        <v>0</v>
      </c>
      <c r="BJ4" s="1">
        <v>0</v>
      </c>
      <c r="BK4" s="1"/>
      <c r="BM4" s="1">
        <v>1</v>
      </c>
      <c r="BN4">
        <f t="shared" ref="BN4:BN37" si="0">SUM(V4:AD4)</f>
        <v>21</v>
      </c>
      <c r="BO4">
        <f t="shared" ref="BO4:BO37" si="1">SUM(N4:T4)</f>
        <v>20</v>
      </c>
      <c r="BP4">
        <f t="shared" ref="BP4:BP37" si="2">VALUE(BN4)</f>
        <v>21</v>
      </c>
      <c r="BQ4">
        <f t="shared" ref="BQ4:BQ37" si="3">VALUE(BO4)</f>
        <v>20</v>
      </c>
      <c r="BR4">
        <f t="shared" ref="BR4:BR37" si="4">SUM(AL4:BJ4)</f>
        <v>3</v>
      </c>
    </row>
    <row r="5" spans="1:70" ht="13.2" x14ac:dyDescent="0.25">
      <c r="A5" s="1">
        <v>1</v>
      </c>
      <c r="B5" s="1">
        <v>5</v>
      </c>
      <c r="C5" s="1" t="s">
        <v>69</v>
      </c>
      <c r="D5" s="1" t="s">
        <v>65</v>
      </c>
      <c r="E5" s="1" t="s">
        <v>86</v>
      </c>
      <c r="F5" s="1" t="s">
        <v>110</v>
      </c>
      <c r="G5" s="1" t="s">
        <v>98</v>
      </c>
      <c r="H5" s="1" t="s">
        <v>99</v>
      </c>
      <c r="I5" s="1">
        <v>4</v>
      </c>
      <c r="J5" s="1" t="s">
        <v>100</v>
      </c>
      <c r="K5" s="1">
        <v>3</v>
      </c>
      <c r="L5" s="1">
        <v>1</v>
      </c>
      <c r="M5" s="3">
        <v>1</v>
      </c>
      <c r="N5" s="1">
        <v>1</v>
      </c>
      <c r="O5" s="1">
        <v>1</v>
      </c>
      <c r="P5" s="1">
        <v>1</v>
      </c>
      <c r="Q5" s="1">
        <v>1</v>
      </c>
      <c r="R5" s="1">
        <v>4</v>
      </c>
      <c r="S5" s="1">
        <v>5</v>
      </c>
      <c r="T5" s="1">
        <v>1</v>
      </c>
      <c r="U5" s="1">
        <v>3</v>
      </c>
      <c r="V5" s="1">
        <v>2</v>
      </c>
      <c r="W5" s="1">
        <v>3</v>
      </c>
      <c r="X5" s="1">
        <v>2</v>
      </c>
      <c r="Y5" s="1">
        <v>2</v>
      </c>
      <c r="Z5" s="1">
        <v>1</v>
      </c>
      <c r="AA5" s="1">
        <v>1</v>
      </c>
      <c r="AB5" s="1">
        <v>3</v>
      </c>
      <c r="AC5" s="1">
        <v>3</v>
      </c>
      <c r="AD5" s="1">
        <v>1</v>
      </c>
      <c r="AE5" s="1">
        <v>1</v>
      </c>
      <c r="AF5" s="1">
        <v>1</v>
      </c>
      <c r="AG5" s="1" t="s">
        <v>79</v>
      </c>
      <c r="AH5" s="1" t="s">
        <v>80</v>
      </c>
      <c r="AI5" s="1" t="s">
        <v>81</v>
      </c>
      <c r="AJ5" s="1" t="s">
        <v>81</v>
      </c>
      <c r="AK5" s="1" t="s">
        <v>81</v>
      </c>
      <c r="AL5" s="1">
        <v>1</v>
      </c>
      <c r="AM5" s="1">
        <v>0</v>
      </c>
      <c r="AN5" s="1">
        <v>0</v>
      </c>
      <c r="AO5" s="1">
        <v>1</v>
      </c>
      <c r="AP5" s="1">
        <v>1</v>
      </c>
      <c r="AQ5" s="1">
        <v>0</v>
      </c>
      <c r="AR5" s="1">
        <v>1</v>
      </c>
      <c r="AS5" s="1">
        <v>1</v>
      </c>
      <c r="AT5" s="1">
        <v>1</v>
      </c>
      <c r="AU5" s="1">
        <v>1</v>
      </c>
      <c r="AV5" s="1">
        <v>1</v>
      </c>
      <c r="AW5" s="1">
        <v>0</v>
      </c>
      <c r="AX5" s="1">
        <v>1</v>
      </c>
      <c r="AZ5" s="1">
        <v>0</v>
      </c>
      <c r="BA5" s="1">
        <v>1</v>
      </c>
      <c r="BB5" s="1">
        <v>1</v>
      </c>
      <c r="BC5" s="1">
        <v>0</v>
      </c>
      <c r="BD5" s="1">
        <v>1</v>
      </c>
      <c r="BE5" s="1">
        <v>1</v>
      </c>
      <c r="BF5" s="1">
        <v>1</v>
      </c>
      <c r="BG5" s="1">
        <v>1</v>
      </c>
      <c r="BH5" s="1">
        <v>1</v>
      </c>
      <c r="BJ5" s="1">
        <v>0</v>
      </c>
      <c r="BK5" s="1"/>
      <c r="BM5" s="1" t="s">
        <v>160</v>
      </c>
      <c r="BN5">
        <f t="shared" si="0"/>
        <v>18</v>
      </c>
      <c r="BO5">
        <f t="shared" si="1"/>
        <v>14</v>
      </c>
      <c r="BP5">
        <f t="shared" si="2"/>
        <v>18</v>
      </c>
      <c r="BQ5">
        <f t="shared" si="3"/>
        <v>14</v>
      </c>
      <c r="BR5">
        <f t="shared" si="4"/>
        <v>16</v>
      </c>
    </row>
    <row r="6" spans="1:70" ht="13.2" x14ac:dyDescent="0.25">
      <c r="A6" s="1">
        <v>1</v>
      </c>
      <c r="B6" s="1">
        <v>4</v>
      </c>
      <c r="C6" s="1" t="s">
        <v>89</v>
      </c>
      <c r="D6" s="1" t="s">
        <v>103</v>
      </c>
      <c r="E6" s="1" t="s">
        <v>86</v>
      </c>
      <c r="F6" s="1" t="s">
        <v>67</v>
      </c>
      <c r="G6" s="1">
        <v>3</v>
      </c>
      <c r="H6" s="1" t="s">
        <v>99</v>
      </c>
      <c r="I6" s="1">
        <v>4</v>
      </c>
      <c r="J6" s="1" t="s">
        <v>104</v>
      </c>
      <c r="K6" s="1">
        <v>4</v>
      </c>
      <c r="L6" s="1">
        <v>4</v>
      </c>
      <c r="M6" s="3">
        <v>3</v>
      </c>
      <c r="N6" s="1">
        <v>1</v>
      </c>
      <c r="O6" s="1">
        <v>4</v>
      </c>
      <c r="P6" s="1">
        <v>1</v>
      </c>
      <c r="Q6" s="1">
        <v>3</v>
      </c>
      <c r="R6" s="1">
        <v>1</v>
      </c>
      <c r="S6" s="1">
        <v>2</v>
      </c>
      <c r="T6" s="1">
        <v>1</v>
      </c>
      <c r="U6" s="1">
        <v>4</v>
      </c>
      <c r="V6" s="1">
        <v>4</v>
      </c>
      <c r="W6" s="1">
        <v>5</v>
      </c>
      <c r="X6" s="1">
        <v>3</v>
      </c>
      <c r="Y6" s="1">
        <v>4</v>
      </c>
      <c r="Z6" s="1">
        <v>3</v>
      </c>
      <c r="AA6" s="1">
        <v>1</v>
      </c>
      <c r="AB6" s="1">
        <v>2</v>
      </c>
      <c r="AC6" s="1">
        <v>2</v>
      </c>
      <c r="AD6" s="1">
        <v>3</v>
      </c>
      <c r="AE6" s="1">
        <v>1</v>
      </c>
      <c r="AF6" s="1">
        <v>1</v>
      </c>
      <c r="AG6" s="1" t="s">
        <v>95</v>
      </c>
      <c r="AH6" s="1" t="s">
        <v>95</v>
      </c>
      <c r="AI6" s="1" t="s">
        <v>96</v>
      </c>
      <c r="AJ6" s="1" t="s">
        <v>96</v>
      </c>
      <c r="AK6" s="1" t="s">
        <v>81</v>
      </c>
      <c r="AL6" s="1">
        <v>0</v>
      </c>
      <c r="AM6" s="1">
        <v>1</v>
      </c>
      <c r="AN6" s="1">
        <v>1</v>
      </c>
      <c r="AO6" s="1">
        <v>0</v>
      </c>
      <c r="AP6" s="1">
        <v>1</v>
      </c>
      <c r="AQ6" s="1">
        <v>0</v>
      </c>
      <c r="AR6" s="1">
        <v>1</v>
      </c>
      <c r="AS6" s="1">
        <v>0</v>
      </c>
      <c r="AT6" s="1">
        <v>1</v>
      </c>
      <c r="AU6" s="1">
        <v>1</v>
      </c>
      <c r="AV6" s="1">
        <v>0</v>
      </c>
      <c r="AW6" s="1">
        <v>0</v>
      </c>
      <c r="AX6" s="1">
        <v>1</v>
      </c>
      <c r="AY6" s="1">
        <v>1</v>
      </c>
      <c r="AZ6" s="1">
        <v>1</v>
      </c>
      <c r="BA6" s="1">
        <v>0</v>
      </c>
      <c r="BB6" s="1">
        <v>1</v>
      </c>
      <c r="BC6" s="1">
        <v>0</v>
      </c>
      <c r="BD6" s="1">
        <v>1</v>
      </c>
      <c r="BE6" s="1">
        <v>0</v>
      </c>
      <c r="BF6" s="1">
        <v>1</v>
      </c>
      <c r="BG6" s="1">
        <v>1</v>
      </c>
      <c r="BH6" s="1">
        <v>1</v>
      </c>
      <c r="BJ6" s="1">
        <v>1</v>
      </c>
      <c r="BK6" s="1"/>
      <c r="BM6" s="1" t="s">
        <v>160</v>
      </c>
      <c r="BN6">
        <f t="shared" si="0"/>
        <v>27</v>
      </c>
      <c r="BO6">
        <f t="shared" si="1"/>
        <v>13</v>
      </c>
      <c r="BP6">
        <f t="shared" si="2"/>
        <v>27</v>
      </c>
      <c r="BQ6">
        <f t="shared" si="3"/>
        <v>13</v>
      </c>
      <c r="BR6">
        <f t="shared" si="4"/>
        <v>15</v>
      </c>
    </row>
    <row r="7" spans="1:70" ht="13.2" x14ac:dyDescent="0.25">
      <c r="A7" s="1">
        <v>1</v>
      </c>
      <c r="B7" s="1">
        <v>3</v>
      </c>
      <c r="C7" s="1" t="s">
        <v>107</v>
      </c>
      <c r="D7" s="1" t="s">
        <v>65</v>
      </c>
      <c r="E7" s="1" t="s">
        <v>86</v>
      </c>
      <c r="F7" s="1" t="s">
        <v>67</v>
      </c>
      <c r="G7" s="1">
        <v>1</v>
      </c>
      <c r="H7" s="1" t="s">
        <v>99</v>
      </c>
      <c r="I7" s="1">
        <v>3</v>
      </c>
      <c r="J7" s="1" t="s">
        <v>108</v>
      </c>
      <c r="K7" s="1">
        <v>2</v>
      </c>
      <c r="L7" s="1">
        <v>2</v>
      </c>
      <c r="M7" s="3">
        <v>2</v>
      </c>
      <c r="N7" s="1">
        <v>4</v>
      </c>
      <c r="O7" s="1">
        <v>1</v>
      </c>
      <c r="P7" s="1">
        <v>4</v>
      </c>
      <c r="Q7" s="1">
        <v>3</v>
      </c>
      <c r="R7" s="1">
        <v>4</v>
      </c>
      <c r="S7" s="1">
        <v>5</v>
      </c>
      <c r="T7" s="1">
        <v>1</v>
      </c>
      <c r="U7" s="1">
        <v>3</v>
      </c>
      <c r="V7" s="1">
        <v>2</v>
      </c>
      <c r="W7" s="1">
        <v>5</v>
      </c>
      <c r="X7" s="1">
        <v>3</v>
      </c>
      <c r="Y7" s="1">
        <v>4</v>
      </c>
      <c r="Z7" s="1">
        <v>1</v>
      </c>
      <c r="AA7" s="1">
        <v>1</v>
      </c>
      <c r="AB7" s="1">
        <v>1</v>
      </c>
      <c r="AC7" s="1">
        <v>1</v>
      </c>
      <c r="AD7" s="1">
        <v>3</v>
      </c>
      <c r="AE7" s="1">
        <v>1</v>
      </c>
      <c r="AF7" s="1">
        <v>1</v>
      </c>
      <c r="AG7" s="1" t="s">
        <v>95</v>
      </c>
      <c r="AH7" s="1" t="s">
        <v>95</v>
      </c>
      <c r="AI7" s="1" t="s">
        <v>109</v>
      </c>
      <c r="AJ7" s="1" t="s">
        <v>82</v>
      </c>
      <c r="AK7" s="1" t="s">
        <v>96</v>
      </c>
      <c r="AL7" s="1">
        <v>1</v>
      </c>
      <c r="AM7" s="1">
        <v>0</v>
      </c>
      <c r="AN7" s="1">
        <v>0</v>
      </c>
      <c r="AO7" s="1">
        <v>0</v>
      </c>
      <c r="AP7" s="1">
        <v>0</v>
      </c>
      <c r="AQ7" s="1">
        <v>0</v>
      </c>
      <c r="AR7" s="1">
        <v>0</v>
      </c>
      <c r="AS7" s="1">
        <v>0</v>
      </c>
      <c r="AT7" s="1">
        <v>1</v>
      </c>
      <c r="AU7" s="1">
        <v>1</v>
      </c>
      <c r="AV7" s="1">
        <v>0</v>
      </c>
      <c r="AW7" s="1">
        <v>0</v>
      </c>
      <c r="AX7" s="1">
        <v>1</v>
      </c>
      <c r="AY7" s="1">
        <v>1</v>
      </c>
      <c r="AZ7" s="1">
        <v>0</v>
      </c>
      <c r="BA7" s="1">
        <v>0</v>
      </c>
      <c r="BB7" s="1">
        <v>0</v>
      </c>
      <c r="BC7" s="1">
        <v>0</v>
      </c>
      <c r="BD7" s="1">
        <v>0</v>
      </c>
      <c r="BE7" s="1">
        <v>0</v>
      </c>
      <c r="BF7" s="1">
        <v>1</v>
      </c>
      <c r="BG7" s="1">
        <v>1</v>
      </c>
      <c r="BH7" s="1">
        <v>0</v>
      </c>
      <c r="BJ7" s="1">
        <v>0</v>
      </c>
      <c r="BM7" s="1">
        <v>0</v>
      </c>
      <c r="BN7">
        <f t="shared" si="0"/>
        <v>21</v>
      </c>
      <c r="BO7">
        <f t="shared" si="1"/>
        <v>22</v>
      </c>
      <c r="BP7">
        <f t="shared" si="2"/>
        <v>21</v>
      </c>
      <c r="BQ7">
        <f t="shared" si="3"/>
        <v>22</v>
      </c>
      <c r="BR7">
        <f t="shared" si="4"/>
        <v>7</v>
      </c>
    </row>
    <row r="8" spans="1:70" ht="13.2" x14ac:dyDescent="0.25">
      <c r="A8" s="1">
        <v>1</v>
      </c>
      <c r="B8" s="1">
        <v>4</v>
      </c>
      <c r="C8" s="1" t="s">
        <v>89</v>
      </c>
      <c r="D8" s="1" t="s">
        <v>65</v>
      </c>
      <c r="E8" s="1" t="s">
        <v>86</v>
      </c>
      <c r="F8" s="1" t="s">
        <v>110</v>
      </c>
      <c r="G8" s="1">
        <v>2</v>
      </c>
      <c r="H8" s="1" t="s">
        <v>99</v>
      </c>
      <c r="I8" s="1">
        <v>3</v>
      </c>
      <c r="J8" s="1" t="s">
        <v>111</v>
      </c>
      <c r="K8" s="1">
        <v>4</v>
      </c>
      <c r="L8" s="1">
        <v>1</v>
      </c>
      <c r="M8" s="3">
        <v>1</v>
      </c>
      <c r="N8" s="1">
        <v>1</v>
      </c>
      <c r="O8" s="1">
        <v>1</v>
      </c>
      <c r="P8" s="1">
        <v>1</v>
      </c>
      <c r="Q8" s="1">
        <v>3</v>
      </c>
      <c r="R8" s="1">
        <v>1</v>
      </c>
      <c r="S8" s="1">
        <v>5</v>
      </c>
      <c r="T8" s="1">
        <v>1</v>
      </c>
      <c r="U8" s="1">
        <v>2</v>
      </c>
      <c r="V8" s="1">
        <v>1</v>
      </c>
      <c r="W8" s="1">
        <v>5</v>
      </c>
      <c r="X8" s="1">
        <v>5</v>
      </c>
      <c r="Y8" s="1">
        <v>1</v>
      </c>
      <c r="Z8" s="1">
        <v>1</v>
      </c>
      <c r="AA8" s="1">
        <v>1</v>
      </c>
      <c r="AB8" s="1">
        <v>4</v>
      </c>
      <c r="AC8" s="1">
        <v>1</v>
      </c>
      <c r="AD8" s="1">
        <v>1</v>
      </c>
      <c r="AE8" s="1">
        <v>1</v>
      </c>
      <c r="AF8" s="1">
        <v>1</v>
      </c>
      <c r="AG8" s="1" t="s">
        <v>95</v>
      </c>
      <c r="AH8" s="1" t="s">
        <v>80</v>
      </c>
      <c r="AI8" s="1" t="s">
        <v>112</v>
      </c>
      <c r="AJ8" s="1" t="s">
        <v>112</v>
      </c>
      <c r="AK8" s="1" t="s">
        <v>112</v>
      </c>
      <c r="AL8" s="1">
        <v>0</v>
      </c>
      <c r="AM8" s="1">
        <v>0</v>
      </c>
      <c r="AN8" s="1">
        <v>1</v>
      </c>
      <c r="AO8" s="1">
        <v>0</v>
      </c>
      <c r="AP8" s="1">
        <v>0</v>
      </c>
      <c r="AQ8" s="1">
        <v>0</v>
      </c>
      <c r="AR8" s="1">
        <v>1</v>
      </c>
      <c r="AS8" s="1">
        <v>0</v>
      </c>
      <c r="AT8" s="1">
        <v>1</v>
      </c>
      <c r="AU8" s="1">
        <v>1</v>
      </c>
      <c r="AV8" s="1">
        <v>1</v>
      </c>
      <c r="AW8" s="1">
        <v>1</v>
      </c>
      <c r="AX8" s="1">
        <v>1</v>
      </c>
      <c r="AY8" s="1">
        <v>0</v>
      </c>
      <c r="AZ8" s="1">
        <v>1</v>
      </c>
      <c r="BA8" s="1">
        <v>0</v>
      </c>
      <c r="BB8" s="1">
        <v>0</v>
      </c>
      <c r="BC8" s="1">
        <v>1</v>
      </c>
      <c r="BD8" s="1">
        <v>1</v>
      </c>
      <c r="BE8" s="1">
        <v>0</v>
      </c>
      <c r="BF8" s="1">
        <v>0</v>
      </c>
      <c r="BG8" s="1">
        <v>0</v>
      </c>
      <c r="BH8" s="1">
        <v>0</v>
      </c>
      <c r="BJ8" s="1">
        <v>0</v>
      </c>
      <c r="BM8" s="1">
        <v>0</v>
      </c>
      <c r="BN8">
        <f t="shared" si="0"/>
        <v>20</v>
      </c>
      <c r="BO8">
        <f t="shared" si="1"/>
        <v>13</v>
      </c>
      <c r="BP8">
        <f t="shared" si="2"/>
        <v>20</v>
      </c>
      <c r="BQ8">
        <f t="shared" si="3"/>
        <v>13</v>
      </c>
      <c r="BR8">
        <f t="shared" si="4"/>
        <v>10</v>
      </c>
    </row>
    <row r="9" spans="1:70" ht="13.2" x14ac:dyDescent="0.25">
      <c r="A9" s="1">
        <v>1</v>
      </c>
      <c r="B9" s="1">
        <v>6</v>
      </c>
      <c r="C9" s="1" t="s">
        <v>64</v>
      </c>
      <c r="D9" s="1" t="s">
        <v>65</v>
      </c>
      <c r="E9" s="1" t="s">
        <v>86</v>
      </c>
      <c r="F9" s="1" t="s">
        <v>110</v>
      </c>
      <c r="G9" s="1">
        <v>1</v>
      </c>
      <c r="H9" s="1" t="s">
        <v>88</v>
      </c>
      <c r="I9" s="1">
        <v>5</v>
      </c>
      <c r="J9" s="1" t="s">
        <v>108</v>
      </c>
      <c r="K9" s="1">
        <v>2</v>
      </c>
      <c r="L9" s="1">
        <v>4</v>
      </c>
      <c r="M9" s="1">
        <v>4</v>
      </c>
      <c r="N9" s="1">
        <v>1</v>
      </c>
      <c r="O9" s="1">
        <v>1</v>
      </c>
      <c r="P9" s="1">
        <v>1</v>
      </c>
      <c r="Q9" s="1">
        <v>5</v>
      </c>
      <c r="R9" s="1">
        <v>3</v>
      </c>
      <c r="S9" s="1">
        <v>2</v>
      </c>
      <c r="T9" s="1">
        <v>1</v>
      </c>
      <c r="U9" s="1">
        <v>1</v>
      </c>
      <c r="V9" s="1">
        <v>5</v>
      </c>
      <c r="W9" s="1">
        <v>1</v>
      </c>
      <c r="X9" s="1">
        <v>5</v>
      </c>
      <c r="Y9" s="1">
        <v>1</v>
      </c>
      <c r="Z9" s="1">
        <v>1</v>
      </c>
      <c r="AA9" s="1">
        <v>1</v>
      </c>
      <c r="AB9" s="1">
        <v>1</v>
      </c>
      <c r="AC9" s="1">
        <v>1</v>
      </c>
      <c r="AD9" s="1">
        <v>5</v>
      </c>
      <c r="AE9" s="1">
        <v>1</v>
      </c>
      <c r="AF9" s="1">
        <v>1</v>
      </c>
      <c r="AG9" s="1" t="s">
        <v>95</v>
      </c>
      <c r="AH9" s="1" t="s">
        <v>79</v>
      </c>
      <c r="AI9" s="1" t="s">
        <v>112</v>
      </c>
      <c r="AJ9" s="1" t="s">
        <v>112</v>
      </c>
      <c r="AK9" s="1" t="s">
        <v>112</v>
      </c>
      <c r="AL9" s="1">
        <v>0</v>
      </c>
      <c r="AM9" s="1">
        <v>0</v>
      </c>
      <c r="AN9" s="1">
        <v>0</v>
      </c>
      <c r="AO9" s="1">
        <v>0</v>
      </c>
      <c r="AP9" s="1">
        <v>0</v>
      </c>
      <c r="AQ9" s="1">
        <v>0</v>
      </c>
      <c r="AR9" s="1">
        <v>1</v>
      </c>
      <c r="AS9" s="1">
        <v>0</v>
      </c>
      <c r="AT9" s="1">
        <v>0</v>
      </c>
      <c r="AU9" s="1">
        <v>1</v>
      </c>
      <c r="AV9" s="1">
        <v>0</v>
      </c>
      <c r="AW9" s="1">
        <v>0</v>
      </c>
      <c r="AX9" s="1">
        <v>0</v>
      </c>
      <c r="AY9" s="1">
        <v>0</v>
      </c>
      <c r="AZ9" s="1">
        <v>0</v>
      </c>
      <c r="BA9" s="1">
        <v>0</v>
      </c>
      <c r="BB9" s="1">
        <v>0</v>
      </c>
      <c r="BC9" s="1">
        <v>0</v>
      </c>
      <c r="BD9" s="1">
        <v>1</v>
      </c>
      <c r="BE9" s="1">
        <v>0</v>
      </c>
      <c r="BF9" s="1">
        <v>0</v>
      </c>
      <c r="BG9" s="1">
        <v>1</v>
      </c>
      <c r="BH9" s="1">
        <v>0</v>
      </c>
      <c r="BJ9" s="1">
        <v>0</v>
      </c>
      <c r="BM9" s="1">
        <v>0</v>
      </c>
      <c r="BN9">
        <f t="shared" si="0"/>
        <v>21</v>
      </c>
      <c r="BO9">
        <f t="shared" si="1"/>
        <v>14</v>
      </c>
      <c r="BP9">
        <f t="shared" si="2"/>
        <v>21</v>
      </c>
      <c r="BQ9">
        <f t="shared" si="3"/>
        <v>14</v>
      </c>
      <c r="BR9">
        <f t="shared" si="4"/>
        <v>4</v>
      </c>
    </row>
    <row r="10" spans="1:70" ht="13.2" x14ac:dyDescent="0.25">
      <c r="A10" s="1">
        <v>1</v>
      </c>
      <c r="B10" s="1">
        <v>6</v>
      </c>
      <c r="C10" s="1" t="s">
        <v>64</v>
      </c>
      <c r="D10" s="1" t="s">
        <v>65</v>
      </c>
      <c r="E10" s="1" t="s">
        <v>86</v>
      </c>
      <c r="F10" s="1" t="s">
        <v>67</v>
      </c>
      <c r="G10" s="1">
        <v>2</v>
      </c>
      <c r="H10" s="1" t="s">
        <v>99</v>
      </c>
      <c r="I10" s="1">
        <v>2</v>
      </c>
      <c r="J10" s="1" t="s">
        <v>114</v>
      </c>
      <c r="K10" s="1">
        <v>4</v>
      </c>
      <c r="L10" s="1">
        <v>1</v>
      </c>
      <c r="M10" s="3">
        <v>1</v>
      </c>
      <c r="N10" s="1">
        <v>1</v>
      </c>
      <c r="O10" s="1">
        <v>4</v>
      </c>
      <c r="P10" s="1">
        <v>4</v>
      </c>
      <c r="Q10" s="1">
        <v>3</v>
      </c>
      <c r="R10" s="1">
        <v>3</v>
      </c>
      <c r="S10" s="1">
        <v>5</v>
      </c>
      <c r="T10" s="1">
        <v>1</v>
      </c>
      <c r="U10" s="1">
        <v>4</v>
      </c>
      <c r="V10" s="1">
        <v>2</v>
      </c>
      <c r="W10" s="1">
        <v>1</v>
      </c>
      <c r="X10" s="1">
        <v>2</v>
      </c>
      <c r="Y10" s="1">
        <v>1</v>
      </c>
      <c r="Z10" s="1">
        <v>1</v>
      </c>
      <c r="AA10" s="1">
        <v>1</v>
      </c>
      <c r="AB10" s="1">
        <v>1</v>
      </c>
      <c r="AC10" s="1">
        <v>1</v>
      </c>
      <c r="AD10" s="1">
        <v>1</v>
      </c>
      <c r="AE10" s="1">
        <v>1</v>
      </c>
      <c r="AF10" s="1">
        <v>1</v>
      </c>
      <c r="AG10" s="1" t="s">
        <v>79</v>
      </c>
      <c r="AH10" s="1" t="s">
        <v>79</v>
      </c>
      <c r="AI10" s="1" t="s">
        <v>112</v>
      </c>
      <c r="AJ10" s="1" t="s">
        <v>112</v>
      </c>
      <c r="AK10" s="1" t="s">
        <v>112</v>
      </c>
      <c r="AL10" s="1">
        <v>1</v>
      </c>
      <c r="AM10" s="1">
        <v>0</v>
      </c>
      <c r="AN10" s="1">
        <v>1</v>
      </c>
      <c r="AO10" s="1">
        <v>0</v>
      </c>
      <c r="AP10" s="1">
        <v>1</v>
      </c>
      <c r="AQ10" s="1">
        <v>0</v>
      </c>
      <c r="AR10" s="1">
        <v>1</v>
      </c>
      <c r="AS10" s="1">
        <v>0</v>
      </c>
      <c r="AT10" s="1">
        <v>0</v>
      </c>
      <c r="AU10" s="1">
        <v>1</v>
      </c>
      <c r="AV10" s="1">
        <v>1</v>
      </c>
      <c r="AW10" s="1">
        <v>0</v>
      </c>
      <c r="AX10" s="1">
        <v>1</v>
      </c>
      <c r="AY10" s="1">
        <v>1</v>
      </c>
      <c r="AZ10" s="1">
        <v>0</v>
      </c>
      <c r="BA10" s="1">
        <v>0</v>
      </c>
      <c r="BB10" s="1">
        <v>1</v>
      </c>
      <c r="BC10" s="1">
        <v>1</v>
      </c>
      <c r="BD10" s="1">
        <v>0</v>
      </c>
      <c r="BE10" s="1">
        <v>0</v>
      </c>
      <c r="BF10" s="1">
        <v>0</v>
      </c>
      <c r="BG10" s="1">
        <v>0</v>
      </c>
      <c r="BH10" s="1">
        <v>0</v>
      </c>
      <c r="BJ10" s="1">
        <v>0</v>
      </c>
      <c r="BK10" s="1"/>
      <c r="BM10" s="1" t="s">
        <v>115</v>
      </c>
      <c r="BN10">
        <f t="shared" si="0"/>
        <v>11</v>
      </c>
      <c r="BO10">
        <f t="shared" si="1"/>
        <v>21</v>
      </c>
      <c r="BP10">
        <f t="shared" si="2"/>
        <v>11</v>
      </c>
      <c r="BQ10">
        <f t="shared" si="3"/>
        <v>21</v>
      </c>
      <c r="BR10">
        <f t="shared" si="4"/>
        <v>10</v>
      </c>
    </row>
    <row r="11" spans="1:70" ht="13.2" x14ac:dyDescent="0.25">
      <c r="A11" s="1">
        <v>1</v>
      </c>
      <c r="B11" s="1">
        <v>4</v>
      </c>
      <c r="C11" s="1" t="s">
        <v>89</v>
      </c>
      <c r="D11" s="1" t="s">
        <v>65</v>
      </c>
      <c r="E11" s="1" t="s">
        <v>86</v>
      </c>
      <c r="F11" s="1" t="s">
        <v>67</v>
      </c>
      <c r="G11" s="1">
        <v>4</v>
      </c>
      <c r="H11" s="1" t="s">
        <v>68</v>
      </c>
      <c r="I11" s="1">
        <v>4</v>
      </c>
      <c r="J11" s="1" t="s">
        <v>116</v>
      </c>
      <c r="K11" s="1">
        <v>4</v>
      </c>
      <c r="L11" s="1">
        <v>2</v>
      </c>
      <c r="M11" s="3">
        <v>2</v>
      </c>
      <c r="N11" s="1">
        <v>1</v>
      </c>
      <c r="O11" s="1">
        <v>1</v>
      </c>
      <c r="P11" s="1">
        <v>1</v>
      </c>
      <c r="Q11" s="1">
        <v>4</v>
      </c>
      <c r="R11" s="1">
        <v>1</v>
      </c>
      <c r="S11" s="1">
        <v>2</v>
      </c>
      <c r="T11" s="1">
        <v>1</v>
      </c>
      <c r="U11" s="1">
        <v>1</v>
      </c>
      <c r="V11" s="1">
        <v>3</v>
      </c>
      <c r="W11" s="1">
        <v>2</v>
      </c>
      <c r="X11" s="1">
        <v>3</v>
      </c>
      <c r="Y11" s="1">
        <v>3</v>
      </c>
      <c r="Z11" s="1">
        <v>2</v>
      </c>
      <c r="AA11" s="1">
        <v>2</v>
      </c>
      <c r="AB11" s="1">
        <v>2</v>
      </c>
      <c r="AC11" s="1">
        <v>4</v>
      </c>
      <c r="AD11" s="1">
        <v>3</v>
      </c>
      <c r="AE11" s="1">
        <v>1</v>
      </c>
      <c r="AF11" s="1">
        <v>1</v>
      </c>
      <c r="AG11" s="1" t="s">
        <v>95</v>
      </c>
      <c r="AH11" s="1" t="s">
        <v>80</v>
      </c>
      <c r="AI11" s="1" t="s">
        <v>82</v>
      </c>
      <c r="AJ11" s="1" t="s">
        <v>82</v>
      </c>
      <c r="AK11" s="1" t="s">
        <v>109</v>
      </c>
      <c r="AL11" s="1">
        <v>1</v>
      </c>
      <c r="AM11" s="1">
        <v>1</v>
      </c>
      <c r="AN11" s="1">
        <v>1</v>
      </c>
      <c r="AO11" s="1">
        <v>1</v>
      </c>
      <c r="AP11" s="1">
        <v>1</v>
      </c>
      <c r="AQ11" s="1">
        <v>0</v>
      </c>
      <c r="AR11" s="1">
        <v>1</v>
      </c>
      <c r="AS11" s="1">
        <v>0</v>
      </c>
      <c r="AT11" s="1">
        <v>1</v>
      </c>
      <c r="AU11" s="1">
        <v>1</v>
      </c>
      <c r="AV11" s="1">
        <v>1</v>
      </c>
      <c r="AW11" s="1">
        <v>1</v>
      </c>
      <c r="AX11" s="1">
        <v>1</v>
      </c>
      <c r="AY11" s="1">
        <v>1</v>
      </c>
      <c r="AZ11" s="1">
        <v>1</v>
      </c>
      <c r="BA11" s="1">
        <v>1</v>
      </c>
      <c r="BB11" s="1">
        <v>1</v>
      </c>
      <c r="BC11" s="1">
        <v>1</v>
      </c>
      <c r="BD11" s="1">
        <v>1</v>
      </c>
      <c r="BE11" s="1">
        <v>1</v>
      </c>
      <c r="BF11" s="1">
        <v>1</v>
      </c>
      <c r="BG11" s="1">
        <v>1</v>
      </c>
      <c r="BH11" s="1">
        <v>1</v>
      </c>
      <c r="BJ11" s="1">
        <v>1</v>
      </c>
      <c r="BK11" s="1"/>
      <c r="BM11" s="1" t="s">
        <v>161</v>
      </c>
      <c r="BN11">
        <f t="shared" si="0"/>
        <v>24</v>
      </c>
      <c r="BO11">
        <f t="shared" si="1"/>
        <v>11</v>
      </c>
      <c r="BP11">
        <f t="shared" si="2"/>
        <v>24</v>
      </c>
      <c r="BQ11">
        <f t="shared" si="3"/>
        <v>11</v>
      </c>
      <c r="BR11">
        <f t="shared" si="4"/>
        <v>22</v>
      </c>
    </row>
    <row r="12" spans="1:70" ht="13.2" x14ac:dyDescent="0.25">
      <c r="A12" s="1">
        <v>1</v>
      </c>
      <c r="B12" s="1">
        <v>3</v>
      </c>
      <c r="C12" s="1" t="s">
        <v>107</v>
      </c>
      <c r="D12" s="1" t="s">
        <v>65</v>
      </c>
      <c r="E12" s="1" t="s">
        <v>66</v>
      </c>
      <c r="F12" s="1" t="s">
        <v>67</v>
      </c>
      <c r="G12" s="1">
        <v>2</v>
      </c>
      <c r="H12" s="1" t="s">
        <v>99</v>
      </c>
      <c r="I12" s="1"/>
      <c r="J12" s="1" t="s">
        <v>119</v>
      </c>
      <c r="K12" s="1">
        <v>3</v>
      </c>
      <c r="L12" s="1">
        <v>1</v>
      </c>
      <c r="M12" s="3">
        <v>1</v>
      </c>
      <c r="N12" s="1">
        <v>4</v>
      </c>
      <c r="O12" s="1">
        <v>4</v>
      </c>
      <c r="P12" s="1">
        <v>1</v>
      </c>
      <c r="Q12" s="1">
        <v>1</v>
      </c>
      <c r="R12" s="1">
        <v>1</v>
      </c>
      <c r="S12" s="1">
        <v>2</v>
      </c>
      <c r="T12" s="1">
        <v>4</v>
      </c>
      <c r="U12" s="1">
        <v>3</v>
      </c>
      <c r="V12" s="1">
        <v>4</v>
      </c>
      <c r="W12" s="1">
        <v>5</v>
      </c>
      <c r="X12" s="1">
        <v>5</v>
      </c>
      <c r="Y12" s="1">
        <v>1</v>
      </c>
      <c r="Z12" s="1">
        <v>1</v>
      </c>
      <c r="AA12" s="1">
        <v>1</v>
      </c>
      <c r="AB12" s="1">
        <v>2</v>
      </c>
      <c r="AC12" s="1">
        <v>4</v>
      </c>
      <c r="AD12" s="1">
        <v>1</v>
      </c>
      <c r="AE12" s="1">
        <v>1</v>
      </c>
      <c r="AF12" s="1">
        <v>1</v>
      </c>
      <c r="AG12" s="1" t="s">
        <v>120</v>
      </c>
      <c r="AH12" s="1" t="s">
        <v>80</v>
      </c>
      <c r="AI12" s="1" t="s">
        <v>82</v>
      </c>
      <c r="AJ12" s="1" t="s">
        <v>82</v>
      </c>
      <c r="AK12" s="1" t="s">
        <v>96</v>
      </c>
      <c r="AL12" s="1">
        <v>0</v>
      </c>
      <c r="AM12" s="1">
        <v>0</v>
      </c>
      <c r="AN12" s="1">
        <v>0</v>
      </c>
      <c r="AO12" s="1">
        <v>0</v>
      </c>
      <c r="AP12" s="1">
        <v>0</v>
      </c>
      <c r="AQ12" s="1">
        <v>0</v>
      </c>
      <c r="AR12" s="1">
        <v>0</v>
      </c>
      <c r="AS12" s="1">
        <v>0</v>
      </c>
      <c r="AT12" s="1">
        <v>0</v>
      </c>
      <c r="AU12" s="1">
        <v>0</v>
      </c>
      <c r="AV12" s="1">
        <v>0</v>
      </c>
      <c r="AW12" s="1">
        <v>0</v>
      </c>
      <c r="AX12" s="1">
        <v>0</v>
      </c>
      <c r="AY12" s="1">
        <v>0</v>
      </c>
      <c r="AZ12" s="1">
        <v>0</v>
      </c>
      <c r="BA12" s="1">
        <v>0</v>
      </c>
      <c r="BB12" s="1">
        <v>0</v>
      </c>
      <c r="BC12" s="1">
        <v>0</v>
      </c>
      <c r="BD12" s="1">
        <v>0</v>
      </c>
      <c r="BE12" s="1">
        <v>0</v>
      </c>
      <c r="BF12" s="1">
        <v>0</v>
      </c>
      <c r="BG12" s="1">
        <v>0</v>
      </c>
      <c r="BH12" s="1">
        <v>0</v>
      </c>
      <c r="BJ12" s="1">
        <v>0</v>
      </c>
      <c r="BM12" s="1">
        <v>0</v>
      </c>
      <c r="BN12">
        <f t="shared" si="0"/>
        <v>24</v>
      </c>
      <c r="BO12">
        <f t="shared" si="1"/>
        <v>17</v>
      </c>
      <c r="BP12">
        <f t="shared" si="2"/>
        <v>24</v>
      </c>
      <c r="BQ12">
        <f t="shared" si="3"/>
        <v>17</v>
      </c>
      <c r="BR12">
        <f t="shared" si="4"/>
        <v>0</v>
      </c>
    </row>
    <row r="13" spans="1:70" ht="13.2" x14ac:dyDescent="0.25">
      <c r="A13" s="1">
        <v>2</v>
      </c>
      <c r="B13" s="1">
        <v>4</v>
      </c>
      <c r="C13" s="1" t="s">
        <v>89</v>
      </c>
      <c r="D13" s="1" t="s">
        <v>65</v>
      </c>
      <c r="E13" s="1" t="s">
        <v>86</v>
      </c>
      <c r="F13" s="1" t="s">
        <v>67</v>
      </c>
      <c r="G13" s="1">
        <v>1</v>
      </c>
      <c r="H13" s="1" t="s">
        <v>99</v>
      </c>
      <c r="I13" s="1">
        <v>4</v>
      </c>
      <c r="J13" s="1" t="s">
        <v>122</v>
      </c>
      <c r="K13" s="1">
        <v>3</v>
      </c>
      <c r="L13" s="1">
        <v>2</v>
      </c>
      <c r="M13" s="1">
        <v>4</v>
      </c>
      <c r="N13" s="1">
        <v>1</v>
      </c>
      <c r="O13" s="1">
        <v>1</v>
      </c>
      <c r="P13" s="1">
        <v>1</v>
      </c>
      <c r="Q13" s="1">
        <v>4</v>
      </c>
      <c r="R13" s="1">
        <v>1</v>
      </c>
      <c r="S13" s="1">
        <v>4</v>
      </c>
      <c r="T13" s="1">
        <v>1</v>
      </c>
      <c r="U13" s="1">
        <v>1</v>
      </c>
      <c r="V13" s="1">
        <v>4</v>
      </c>
      <c r="W13" s="1">
        <v>3</v>
      </c>
      <c r="X13" s="1">
        <v>3</v>
      </c>
      <c r="Y13" s="1">
        <v>1</v>
      </c>
      <c r="Z13" s="1">
        <v>1</v>
      </c>
      <c r="AA13" s="1">
        <v>1</v>
      </c>
      <c r="AB13" s="1">
        <v>1</v>
      </c>
      <c r="AC13" s="1">
        <v>1</v>
      </c>
      <c r="AD13" s="1">
        <v>1</v>
      </c>
      <c r="AE13" s="1">
        <v>1</v>
      </c>
      <c r="AF13" s="1">
        <v>1</v>
      </c>
      <c r="AG13" s="1" t="s">
        <v>80</v>
      </c>
      <c r="AH13" s="1" t="s">
        <v>80</v>
      </c>
      <c r="AI13" s="1" t="s">
        <v>82</v>
      </c>
      <c r="AJ13" s="1" t="s">
        <v>82</v>
      </c>
      <c r="AK13" s="1" t="s">
        <v>81</v>
      </c>
      <c r="AL13" s="1">
        <v>0</v>
      </c>
      <c r="AM13" s="1">
        <v>0</v>
      </c>
      <c r="AN13" s="1">
        <v>0</v>
      </c>
      <c r="AO13" s="1">
        <v>0</v>
      </c>
      <c r="AP13" s="1">
        <v>0</v>
      </c>
      <c r="AQ13" s="1">
        <v>0</v>
      </c>
      <c r="AR13" s="1">
        <v>0</v>
      </c>
      <c r="AS13" s="1">
        <v>0</v>
      </c>
      <c r="AT13" s="1">
        <v>0</v>
      </c>
      <c r="AU13" s="1">
        <v>1</v>
      </c>
      <c r="AV13" s="1">
        <v>0</v>
      </c>
      <c r="AW13" s="1">
        <v>0</v>
      </c>
      <c r="AX13" s="1">
        <v>0</v>
      </c>
      <c r="AY13" s="1">
        <v>0</v>
      </c>
      <c r="AZ13" s="1">
        <v>0</v>
      </c>
      <c r="BA13" s="1">
        <v>0</v>
      </c>
      <c r="BB13" s="1">
        <v>0</v>
      </c>
      <c r="BC13" s="1">
        <v>0</v>
      </c>
      <c r="BD13" s="1">
        <v>0</v>
      </c>
      <c r="BE13" s="1">
        <v>0</v>
      </c>
      <c r="BF13" s="1">
        <v>0</v>
      </c>
      <c r="BG13" s="1">
        <v>1</v>
      </c>
      <c r="BH13" s="1">
        <v>0</v>
      </c>
      <c r="BJ13" s="1">
        <v>0</v>
      </c>
      <c r="BK13" s="1"/>
      <c r="BM13" s="1" t="s">
        <v>123</v>
      </c>
      <c r="BN13">
        <f t="shared" si="0"/>
        <v>16</v>
      </c>
      <c r="BO13">
        <f t="shared" si="1"/>
        <v>13</v>
      </c>
      <c r="BP13">
        <f t="shared" si="2"/>
        <v>16</v>
      </c>
      <c r="BQ13">
        <f t="shared" si="3"/>
        <v>13</v>
      </c>
      <c r="BR13">
        <f t="shared" si="4"/>
        <v>2</v>
      </c>
    </row>
    <row r="14" spans="1:70" ht="13.2" x14ac:dyDescent="0.25">
      <c r="A14" s="1">
        <v>2</v>
      </c>
      <c r="B14" s="1">
        <v>2</v>
      </c>
      <c r="C14" s="1" t="s">
        <v>113</v>
      </c>
      <c r="D14" s="1" t="s">
        <v>65</v>
      </c>
      <c r="E14" s="1" t="s">
        <v>86</v>
      </c>
      <c r="F14" s="1" t="s">
        <v>67</v>
      </c>
      <c r="G14" s="1">
        <v>3</v>
      </c>
      <c r="H14" s="1" t="s">
        <v>99</v>
      </c>
      <c r="I14" s="1">
        <v>2</v>
      </c>
      <c r="J14" s="1" t="s">
        <v>70</v>
      </c>
      <c r="K14" s="1">
        <v>3</v>
      </c>
      <c r="L14" s="1">
        <v>2</v>
      </c>
      <c r="M14" s="3">
        <v>2</v>
      </c>
      <c r="N14" s="1">
        <v>1</v>
      </c>
      <c r="O14" s="1">
        <v>4</v>
      </c>
      <c r="P14" s="1">
        <v>4</v>
      </c>
      <c r="Q14" s="1">
        <v>1</v>
      </c>
      <c r="R14" s="1">
        <v>1</v>
      </c>
      <c r="S14" s="1">
        <v>2</v>
      </c>
      <c r="T14" s="1">
        <v>3</v>
      </c>
      <c r="U14" s="1">
        <v>3</v>
      </c>
      <c r="V14" s="1">
        <v>2</v>
      </c>
      <c r="W14" s="1">
        <v>3</v>
      </c>
      <c r="X14" s="1">
        <v>5</v>
      </c>
      <c r="Y14" s="1">
        <v>2</v>
      </c>
      <c r="Z14" s="1">
        <v>2</v>
      </c>
      <c r="AA14" s="1">
        <v>2</v>
      </c>
      <c r="AB14" s="1">
        <v>2</v>
      </c>
      <c r="AC14" s="1">
        <v>1</v>
      </c>
      <c r="AD14" s="1">
        <v>1</v>
      </c>
      <c r="AE14" s="1">
        <v>1</v>
      </c>
      <c r="AF14" s="1">
        <v>1</v>
      </c>
      <c r="AG14" s="1" t="s">
        <v>79</v>
      </c>
      <c r="AH14" s="1" t="s">
        <v>80</v>
      </c>
      <c r="AI14" s="1" t="s">
        <v>112</v>
      </c>
      <c r="AJ14" s="1" t="s">
        <v>112</v>
      </c>
      <c r="AK14" s="1" t="s">
        <v>81</v>
      </c>
      <c r="AL14" s="1">
        <v>0</v>
      </c>
      <c r="AM14" s="1">
        <v>0</v>
      </c>
      <c r="AN14" s="1">
        <v>0</v>
      </c>
      <c r="AO14" s="1">
        <v>0</v>
      </c>
      <c r="AP14" s="1">
        <v>0</v>
      </c>
      <c r="AQ14" s="1">
        <v>0</v>
      </c>
      <c r="AR14" s="1">
        <v>0</v>
      </c>
      <c r="AS14" s="1">
        <v>0</v>
      </c>
      <c r="AT14" s="1">
        <v>0</v>
      </c>
      <c r="AU14" s="1">
        <v>1</v>
      </c>
      <c r="AV14" s="1">
        <v>0</v>
      </c>
      <c r="AW14" s="1">
        <v>1</v>
      </c>
      <c r="AX14" s="1">
        <v>0</v>
      </c>
      <c r="AY14" s="1">
        <v>0</v>
      </c>
      <c r="AZ14" s="1">
        <v>0</v>
      </c>
      <c r="BA14" s="1">
        <v>0</v>
      </c>
      <c r="BB14" s="1">
        <v>0</v>
      </c>
      <c r="BC14" s="1">
        <v>0</v>
      </c>
      <c r="BD14" s="1">
        <v>0</v>
      </c>
      <c r="BE14" s="1">
        <v>0</v>
      </c>
      <c r="BF14" s="1">
        <v>0</v>
      </c>
      <c r="BG14" s="1">
        <v>1</v>
      </c>
      <c r="BH14" s="1">
        <v>0</v>
      </c>
      <c r="BJ14" s="1">
        <v>1</v>
      </c>
      <c r="BM14" s="1">
        <v>0</v>
      </c>
      <c r="BN14">
        <f t="shared" si="0"/>
        <v>20</v>
      </c>
      <c r="BO14">
        <f t="shared" si="1"/>
        <v>16</v>
      </c>
      <c r="BP14">
        <f t="shared" si="2"/>
        <v>20</v>
      </c>
      <c r="BQ14">
        <f t="shared" si="3"/>
        <v>16</v>
      </c>
      <c r="BR14">
        <f t="shared" si="4"/>
        <v>4</v>
      </c>
    </row>
    <row r="15" spans="1:70" ht="13.2" x14ac:dyDescent="0.25">
      <c r="A15" s="1">
        <v>2</v>
      </c>
      <c r="B15" s="1">
        <v>5</v>
      </c>
      <c r="C15" s="1" t="s">
        <v>69</v>
      </c>
      <c r="D15" s="1" t="s">
        <v>124</v>
      </c>
      <c r="E15" s="1" t="s">
        <v>86</v>
      </c>
      <c r="F15" s="1" t="s">
        <v>67</v>
      </c>
      <c r="G15" s="1">
        <v>2</v>
      </c>
      <c r="H15" s="1" t="s">
        <v>99</v>
      </c>
      <c r="I15" s="1">
        <v>4</v>
      </c>
      <c r="J15" s="1" t="s">
        <v>70</v>
      </c>
      <c r="K15" s="1">
        <v>3</v>
      </c>
      <c r="L15" s="1">
        <v>2</v>
      </c>
      <c r="M15" s="3">
        <v>2</v>
      </c>
      <c r="N15" s="1">
        <v>1</v>
      </c>
      <c r="O15" s="1">
        <v>4</v>
      </c>
      <c r="P15" s="1">
        <v>4</v>
      </c>
      <c r="Q15" s="1">
        <v>4</v>
      </c>
      <c r="R15" s="1">
        <v>4</v>
      </c>
      <c r="S15" s="1">
        <v>4</v>
      </c>
      <c r="T15" s="1">
        <v>1</v>
      </c>
      <c r="U15" s="1">
        <v>1</v>
      </c>
      <c r="V15" s="1">
        <v>3</v>
      </c>
      <c r="W15" s="1">
        <v>3</v>
      </c>
      <c r="X15" s="1">
        <v>3</v>
      </c>
      <c r="Y15" s="1">
        <v>2</v>
      </c>
      <c r="Z15" s="1">
        <v>1</v>
      </c>
      <c r="AA15" s="1">
        <v>1</v>
      </c>
      <c r="AB15" s="1">
        <v>2</v>
      </c>
      <c r="AC15" s="1">
        <v>1</v>
      </c>
      <c r="AD15" s="1">
        <v>1</v>
      </c>
      <c r="AE15" s="1">
        <v>1</v>
      </c>
      <c r="AF15" s="1">
        <v>1</v>
      </c>
      <c r="AG15" s="1" t="s">
        <v>79</v>
      </c>
      <c r="AH15" s="1" t="s">
        <v>120</v>
      </c>
      <c r="AI15" s="1" t="s">
        <v>81</v>
      </c>
      <c r="AJ15" s="1" t="s">
        <v>112</v>
      </c>
      <c r="AK15" s="1" t="s">
        <v>96</v>
      </c>
      <c r="AL15" s="1">
        <v>0</v>
      </c>
      <c r="AM15" s="1">
        <v>1</v>
      </c>
      <c r="AN15" s="1">
        <v>0</v>
      </c>
      <c r="AO15" s="1">
        <v>0</v>
      </c>
      <c r="AP15" s="1">
        <v>0</v>
      </c>
      <c r="AQ15" s="1">
        <v>0</v>
      </c>
      <c r="AR15" s="1">
        <v>0</v>
      </c>
      <c r="AS15" s="1">
        <v>0</v>
      </c>
      <c r="AT15" s="1">
        <v>0</v>
      </c>
      <c r="AU15" s="1">
        <v>0</v>
      </c>
      <c r="AV15" s="1">
        <v>0</v>
      </c>
      <c r="AW15" s="1">
        <v>0</v>
      </c>
      <c r="AX15" s="1">
        <v>0</v>
      </c>
      <c r="AY15" s="1">
        <v>1</v>
      </c>
      <c r="AZ15" s="1">
        <v>0</v>
      </c>
      <c r="BA15" s="1">
        <v>0</v>
      </c>
      <c r="BB15" s="1">
        <v>0</v>
      </c>
      <c r="BC15" s="1">
        <v>0</v>
      </c>
      <c r="BD15" s="1">
        <v>0</v>
      </c>
      <c r="BE15" s="1">
        <v>0</v>
      </c>
      <c r="BF15" s="1">
        <v>0</v>
      </c>
      <c r="BG15" s="1">
        <v>0</v>
      </c>
      <c r="BH15" s="1">
        <v>0</v>
      </c>
      <c r="BJ15" s="1">
        <v>0</v>
      </c>
      <c r="BK15" s="1"/>
      <c r="BM15" s="1" t="s">
        <v>125</v>
      </c>
      <c r="BN15">
        <f t="shared" si="0"/>
        <v>17</v>
      </c>
      <c r="BO15">
        <f t="shared" si="1"/>
        <v>22</v>
      </c>
      <c r="BP15">
        <f t="shared" si="2"/>
        <v>17</v>
      </c>
      <c r="BQ15">
        <f t="shared" si="3"/>
        <v>22</v>
      </c>
      <c r="BR15">
        <f t="shared" si="4"/>
        <v>2</v>
      </c>
    </row>
    <row r="16" spans="1:70" ht="13.2" x14ac:dyDescent="0.25">
      <c r="A16" s="1">
        <v>2</v>
      </c>
      <c r="B16" s="1">
        <v>4</v>
      </c>
      <c r="C16" s="1" t="s">
        <v>89</v>
      </c>
      <c r="D16" s="1" t="s">
        <v>65</v>
      </c>
      <c r="E16" s="1" t="s">
        <v>86</v>
      </c>
      <c r="F16" s="1" t="s">
        <v>67</v>
      </c>
      <c r="G16" s="1">
        <v>2</v>
      </c>
      <c r="H16" s="1" t="s">
        <v>99</v>
      </c>
      <c r="I16" s="1">
        <v>3</v>
      </c>
      <c r="J16" s="1" t="s">
        <v>126</v>
      </c>
      <c r="K16" s="1">
        <v>4</v>
      </c>
      <c r="L16" s="1">
        <v>1</v>
      </c>
      <c r="M16" s="3">
        <v>1</v>
      </c>
      <c r="N16" s="1">
        <v>1</v>
      </c>
      <c r="O16" s="1">
        <v>1</v>
      </c>
      <c r="P16" s="1">
        <v>1</v>
      </c>
      <c r="Q16" s="1">
        <v>1</v>
      </c>
      <c r="R16" s="1">
        <v>1</v>
      </c>
      <c r="S16" s="1">
        <v>3</v>
      </c>
      <c r="T16" s="1">
        <v>1</v>
      </c>
      <c r="U16" s="1">
        <v>3</v>
      </c>
      <c r="V16" s="1">
        <v>4</v>
      </c>
      <c r="W16" s="1">
        <v>2</v>
      </c>
      <c r="X16" s="1">
        <v>1</v>
      </c>
      <c r="Y16" s="1">
        <v>1</v>
      </c>
      <c r="Z16" s="1">
        <v>1</v>
      </c>
      <c r="AA16" s="1">
        <v>1</v>
      </c>
      <c r="AB16" s="1">
        <v>1</v>
      </c>
      <c r="AC16" s="1">
        <v>1</v>
      </c>
      <c r="AD16" s="1">
        <v>1</v>
      </c>
      <c r="AE16" s="1">
        <v>1</v>
      </c>
      <c r="AF16" s="1">
        <v>1</v>
      </c>
      <c r="AG16" s="1" t="s">
        <v>120</v>
      </c>
      <c r="AH16" s="1" t="s">
        <v>120</v>
      </c>
      <c r="AI16" s="1" t="s">
        <v>96</v>
      </c>
      <c r="AJ16" s="1" t="s">
        <v>96</v>
      </c>
      <c r="AK16" s="1" t="s">
        <v>96</v>
      </c>
      <c r="BM16" s="1">
        <v>2</v>
      </c>
      <c r="BN16">
        <f t="shared" si="0"/>
        <v>13</v>
      </c>
      <c r="BO16">
        <f t="shared" si="1"/>
        <v>9</v>
      </c>
      <c r="BP16">
        <f t="shared" si="2"/>
        <v>13</v>
      </c>
      <c r="BQ16">
        <f t="shared" si="3"/>
        <v>9</v>
      </c>
      <c r="BR16">
        <f t="shared" si="4"/>
        <v>0</v>
      </c>
    </row>
    <row r="17" spans="1:70" ht="13.2" x14ac:dyDescent="0.25">
      <c r="A17" s="1">
        <v>2</v>
      </c>
      <c r="B17" s="1">
        <v>4</v>
      </c>
      <c r="C17" s="1" t="s">
        <v>89</v>
      </c>
      <c r="D17" s="1" t="s">
        <v>65</v>
      </c>
      <c r="E17" s="1" t="s">
        <v>86</v>
      </c>
      <c r="F17" s="1" t="s">
        <v>67</v>
      </c>
      <c r="G17" s="1">
        <v>3</v>
      </c>
      <c r="H17" s="1" t="s">
        <v>99</v>
      </c>
      <c r="I17" s="1">
        <v>3</v>
      </c>
      <c r="J17" s="1" t="s">
        <v>108</v>
      </c>
      <c r="K17" s="1">
        <v>2</v>
      </c>
      <c r="L17" s="1">
        <v>1</v>
      </c>
      <c r="M17" s="3">
        <v>1</v>
      </c>
      <c r="N17" s="1">
        <v>1</v>
      </c>
      <c r="O17" s="1">
        <v>4</v>
      </c>
      <c r="P17" s="1">
        <v>4</v>
      </c>
      <c r="Q17" s="1">
        <v>3</v>
      </c>
      <c r="R17" s="1">
        <v>4</v>
      </c>
      <c r="S17" s="1">
        <v>4</v>
      </c>
      <c r="T17" s="1">
        <v>1</v>
      </c>
      <c r="U17" s="1">
        <v>4</v>
      </c>
      <c r="V17" s="1">
        <v>4</v>
      </c>
      <c r="W17" s="1">
        <v>5</v>
      </c>
      <c r="X17" s="1">
        <v>3</v>
      </c>
      <c r="Y17" s="1">
        <v>3</v>
      </c>
      <c r="Z17" s="1">
        <v>2</v>
      </c>
      <c r="AA17" s="1">
        <v>1</v>
      </c>
      <c r="AB17" s="1">
        <v>4</v>
      </c>
      <c r="AC17" s="1">
        <v>1</v>
      </c>
      <c r="AD17" s="1">
        <v>1</v>
      </c>
      <c r="AE17" s="1">
        <v>1</v>
      </c>
      <c r="AF17" s="1">
        <v>1</v>
      </c>
      <c r="AG17" s="1" t="s">
        <v>79</v>
      </c>
      <c r="AH17" s="1" t="s">
        <v>120</v>
      </c>
      <c r="AI17" s="1" t="s">
        <v>96</v>
      </c>
      <c r="AJ17" s="1" t="s">
        <v>96</v>
      </c>
      <c r="AK17" s="1" t="s">
        <v>96</v>
      </c>
      <c r="AL17" s="1">
        <v>0</v>
      </c>
      <c r="AM17" s="1">
        <v>0</v>
      </c>
      <c r="AN17" s="1">
        <v>0</v>
      </c>
      <c r="AO17" s="1">
        <v>0</v>
      </c>
      <c r="AP17" s="1">
        <v>0</v>
      </c>
      <c r="AQ17" s="1">
        <v>0</v>
      </c>
      <c r="AR17" s="1">
        <v>0</v>
      </c>
      <c r="AS17" s="1">
        <v>0</v>
      </c>
      <c r="AT17" s="1">
        <v>0</v>
      </c>
      <c r="AU17" s="1">
        <v>0</v>
      </c>
      <c r="AV17" s="1">
        <v>0</v>
      </c>
      <c r="AW17" s="1">
        <v>0</v>
      </c>
      <c r="AX17" s="1">
        <v>0</v>
      </c>
      <c r="AY17" s="1">
        <v>0</v>
      </c>
      <c r="AZ17" s="1">
        <v>0</v>
      </c>
      <c r="BA17" s="1">
        <v>0</v>
      </c>
      <c r="BB17" s="1">
        <v>0</v>
      </c>
      <c r="BC17" s="1">
        <v>0</v>
      </c>
      <c r="BD17" s="1">
        <v>0</v>
      </c>
      <c r="BE17" s="1">
        <v>0</v>
      </c>
      <c r="BF17" s="1">
        <v>0</v>
      </c>
      <c r="BG17" s="1">
        <v>0</v>
      </c>
      <c r="BH17" s="1">
        <v>0</v>
      </c>
      <c r="BJ17" s="1">
        <v>0</v>
      </c>
      <c r="BM17" s="1">
        <v>0</v>
      </c>
      <c r="BN17">
        <f t="shared" si="0"/>
        <v>24</v>
      </c>
      <c r="BO17">
        <f t="shared" si="1"/>
        <v>21</v>
      </c>
      <c r="BP17">
        <f t="shared" si="2"/>
        <v>24</v>
      </c>
      <c r="BQ17">
        <f t="shared" si="3"/>
        <v>21</v>
      </c>
      <c r="BR17">
        <f t="shared" si="4"/>
        <v>0</v>
      </c>
    </row>
    <row r="18" spans="1:70" ht="13.2" x14ac:dyDescent="0.25">
      <c r="A18" s="1">
        <v>2</v>
      </c>
      <c r="B18" s="1">
        <v>4</v>
      </c>
      <c r="C18" s="1" t="s">
        <v>89</v>
      </c>
      <c r="D18" s="1" t="s">
        <v>65</v>
      </c>
      <c r="E18" s="1" t="s">
        <v>86</v>
      </c>
      <c r="F18" s="1" t="s">
        <v>110</v>
      </c>
      <c r="G18" s="1">
        <v>3</v>
      </c>
      <c r="H18" s="1" t="s">
        <v>99</v>
      </c>
      <c r="I18" s="1">
        <v>3</v>
      </c>
      <c r="J18" s="1" t="s">
        <v>127</v>
      </c>
      <c r="K18" s="1">
        <v>5</v>
      </c>
      <c r="L18" s="1">
        <v>1</v>
      </c>
      <c r="M18" s="3">
        <v>2</v>
      </c>
      <c r="N18" s="1">
        <v>1</v>
      </c>
      <c r="O18" s="1">
        <v>1</v>
      </c>
      <c r="P18" s="1">
        <v>1</v>
      </c>
      <c r="Q18" s="1">
        <v>1</v>
      </c>
      <c r="R18" s="1">
        <v>4</v>
      </c>
      <c r="S18" s="1">
        <v>3</v>
      </c>
      <c r="T18" s="1">
        <v>1</v>
      </c>
      <c r="U18" s="1">
        <v>4</v>
      </c>
      <c r="V18" s="1">
        <v>3</v>
      </c>
      <c r="W18" s="1">
        <v>2</v>
      </c>
      <c r="X18" s="1">
        <v>4</v>
      </c>
      <c r="Y18" s="1">
        <v>1</v>
      </c>
      <c r="Z18" s="1">
        <v>1</v>
      </c>
      <c r="AA18" s="1">
        <v>1</v>
      </c>
      <c r="AB18" s="1">
        <v>1</v>
      </c>
      <c r="AC18" s="1">
        <v>1</v>
      </c>
      <c r="AD18" s="1">
        <v>1</v>
      </c>
      <c r="AE18" s="1">
        <v>1</v>
      </c>
      <c r="AF18" s="1">
        <v>1</v>
      </c>
      <c r="AG18" s="1" t="s">
        <v>79</v>
      </c>
      <c r="AH18" s="1" t="s">
        <v>80</v>
      </c>
      <c r="AI18" s="1" t="s">
        <v>96</v>
      </c>
      <c r="AJ18" s="1" t="s">
        <v>96</v>
      </c>
      <c r="AK18" s="1" t="s">
        <v>96</v>
      </c>
      <c r="AL18" s="1">
        <v>0</v>
      </c>
      <c r="AM18" s="1">
        <v>0</v>
      </c>
      <c r="AN18" s="1">
        <v>0</v>
      </c>
      <c r="AO18" s="1">
        <v>0</v>
      </c>
      <c r="AP18" s="1">
        <v>0</v>
      </c>
      <c r="AQ18" s="1">
        <v>0</v>
      </c>
      <c r="AR18" s="1">
        <v>0</v>
      </c>
      <c r="AS18" s="1">
        <v>0</v>
      </c>
      <c r="AT18" s="1">
        <v>0</v>
      </c>
      <c r="AU18" s="1">
        <v>0</v>
      </c>
      <c r="AV18" s="1">
        <v>0</v>
      </c>
      <c r="AW18" s="1">
        <v>0</v>
      </c>
      <c r="AX18" s="1">
        <v>0</v>
      </c>
      <c r="AY18" s="1">
        <v>0</v>
      </c>
      <c r="AZ18" s="1">
        <v>0</v>
      </c>
      <c r="BA18" s="1">
        <v>0</v>
      </c>
      <c r="BB18" s="1">
        <v>0</v>
      </c>
      <c r="BC18" s="1">
        <v>0</v>
      </c>
      <c r="BD18" s="1">
        <v>0</v>
      </c>
      <c r="BE18" s="1">
        <v>0</v>
      </c>
      <c r="BF18" s="1">
        <v>0</v>
      </c>
      <c r="BG18" s="1">
        <v>0</v>
      </c>
      <c r="BH18" s="1">
        <v>0</v>
      </c>
      <c r="BJ18" s="1">
        <v>0</v>
      </c>
      <c r="BM18" s="1" t="s">
        <v>125</v>
      </c>
      <c r="BN18">
        <f t="shared" si="0"/>
        <v>15</v>
      </c>
      <c r="BO18">
        <f t="shared" si="1"/>
        <v>12</v>
      </c>
      <c r="BP18">
        <f t="shared" si="2"/>
        <v>15</v>
      </c>
      <c r="BQ18">
        <f t="shared" si="3"/>
        <v>12</v>
      </c>
      <c r="BR18">
        <f t="shared" si="4"/>
        <v>0</v>
      </c>
    </row>
    <row r="19" spans="1:70" ht="13.2" x14ac:dyDescent="0.25">
      <c r="A19" s="1">
        <v>2</v>
      </c>
      <c r="B19" s="1">
        <v>5</v>
      </c>
      <c r="C19" s="1" t="s">
        <v>69</v>
      </c>
      <c r="D19" s="1" t="s">
        <v>65</v>
      </c>
      <c r="E19" s="1" t="s">
        <v>86</v>
      </c>
      <c r="F19" s="1" t="s">
        <v>67</v>
      </c>
      <c r="G19" s="1">
        <v>2</v>
      </c>
      <c r="H19" s="1" t="s">
        <v>99</v>
      </c>
      <c r="I19" s="1">
        <v>2</v>
      </c>
      <c r="J19" s="1" t="s">
        <v>128</v>
      </c>
      <c r="K19" s="1">
        <v>3</v>
      </c>
      <c r="L19" s="1">
        <v>1</v>
      </c>
      <c r="M19" s="3">
        <v>1</v>
      </c>
      <c r="N19" s="1">
        <v>1</v>
      </c>
      <c r="O19" s="1">
        <v>3</v>
      </c>
      <c r="P19" s="1">
        <v>3</v>
      </c>
      <c r="Q19" s="1">
        <v>3</v>
      </c>
      <c r="R19" s="1">
        <v>4</v>
      </c>
      <c r="S19" s="1">
        <v>5</v>
      </c>
      <c r="T19" s="1">
        <v>1</v>
      </c>
      <c r="U19" s="1">
        <v>4</v>
      </c>
      <c r="V19" s="1">
        <v>2</v>
      </c>
      <c r="W19" s="1">
        <v>2</v>
      </c>
      <c r="X19" s="1">
        <v>4</v>
      </c>
      <c r="Y19" s="1">
        <v>2</v>
      </c>
      <c r="Z19" s="1">
        <v>1</v>
      </c>
      <c r="AA19" s="1">
        <v>4</v>
      </c>
      <c r="AB19" s="1">
        <v>4</v>
      </c>
      <c r="AC19" s="1">
        <v>1</v>
      </c>
      <c r="AD19" s="1">
        <v>1</v>
      </c>
      <c r="AE19" s="1">
        <v>1</v>
      </c>
      <c r="AF19" s="1">
        <v>1</v>
      </c>
      <c r="AG19" s="1" t="s">
        <v>80</v>
      </c>
      <c r="AH19" s="1" t="s">
        <v>80</v>
      </c>
      <c r="AI19" s="1" t="s">
        <v>82</v>
      </c>
      <c r="AJ19" s="1" t="s">
        <v>112</v>
      </c>
      <c r="AK19" s="1" t="s">
        <v>112</v>
      </c>
      <c r="AL19" s="1">
        <v>0</v>
      </c>
      <c r="AM19" s="1">
        <v>0</v>
      </c>
      <c r="AN19" s="1">
        <v>0</v>
      </c>
      <c r="AO19" s="1">
        <v>0</v>
      </c>
      <c r="AP19" s="1">
        <v>0</v>
      </c>
      <c r="AQ19" s="1">
        <v>0</v>
      </c>
      <c r="AR19" s="1">
        <v>0</v>
      </c>
      <c r="AS19" s="1">
        <v>0</v>
      </c>
      <c r="AT19" s="1">
        <v>0</v>
      </c>
      <c r="AU19" s="1">
        <v>0</v>
      </c>
      <c r="AV19" s="1">
        <v>0</v>
      </c>
      <c r="AW19" s="1">
        <v>0</v>
      </c>
      <c r="AX19" s="1">
        <v>0</v>
      </c>
      <c r="AY19" s="1">
        <v>0</v>
      </c>
      <c r="AZ19" s="1">
        <v>0</v>
      </c>
      <c r="BA19" s="1">
        <v>0</v>
      </c>
      <c r="BB19" s="1">
        <v>0</v>
      </c>
      <c r="BC19" s="1">
        <v>0</v>
      </c>
      <c r="BD19" s="1">
        <v>0</v>
      </c>
      <c r="BE19" s="1">
        <v>0</v>
      </c>
      <c r="BF19" s="1">
        <v>0</v>
      </c>
      <c r="BG19" s="1">
        <v>0</v>
      </c>
      <c r="BH19" s="1">
        <v>0</v>
      </c>
      <c r="BJ19" s="1">
        <v>0</v>
      </c>
      <c r="BM19" s="1">
        <v>0</v>
      </c>
      <c r="BN19">
        <f t="shared" si="0"/>
        <v>21</v>
      </c>
      <c r="BO19">
        <f t="shared" si="1"/>
        <v>20</v>
      </c>
      <c r="BP19">
        <f t="shared" si="2"/>
        <v>21</v>
      </c>
      <c r="BQ19">
        <f t="shared" si="3"/>
        <v>20</v>
      </c>
      <c r="BR19">
        <f t="shared" si="4"/>
        <v>0</v>
      </c>
    </row>
    <row r="20" spans="1:70" ht="13.2" x14ac:dyDescent="0.25">
      <c r="A20" s="1">
        <v>2</v>
      </c>
      <c r="B20" s="1">
        <v>6</v>
      </c>
      <c r="C20" s="1" t="s">
        <v>64</v>
      </c>
      <c r="D20" s="1" t="s">
        <v>65</v>
      </c>
      <c r="E20" s="1" t="s">
        <v>86</v>
      </c>
      <c r="F20" s="1" t="s">
        <v>67</v>
      </c>
      <c r="G20" s="1">
        <v>2</v>
      </c>
      <c r="H20" s="1" t="s">
        <v>68</v>
      </c>
      <c r="I20" s="1" t="s">
        <v>129</v>
      </c>
      <c r="J20" s="1" t="s">
        <v>130</v>
      </c>
      <c r="K20" s="1">
        <v>2</v>
      </c>
      <c r="L20" s="1">
        <v>4</v>
      </c>
      <c r="M20" s="1">
        <v>4</v>
      </c>
      <c r="N20" s="1">
        <v>1</v>
      </c>
      <c r="O20" s="1">
        <v>4</v>
      </c>
      <c r="P20" s="1">
        <v>1</v>
      </c>
      <c r="Q20" s="1">
        <v>4</v>
      </c>
      <c r="R20" s="1">
        <v>4</v>
      </c>
      <c r="S20" s="1">
        <v>3</v>
      </c>
      <c r="T20" s="1">
        <v>4</v>
      </c>
      <c r="U20" s="1">
        <v>4</v>
      </c>
      <c r="V20" s="1">
        <v>4</v>
      </c>
      <c r="W20" s="1">
        <v>4</v>
      </c>
      <c r="X20" s="1">
        <v>4</v>
      </c>
      <c r="Y20" s="1">
        <v>4</v>
      </c>
      <c r="Z20" s="1">
        <v>3</v>
      </c>
      <c r="AA20" s="1">
        <v>3</v>
      </c>
      <c r="AB20" s="1">
        <v>4</v>
      </c>
      <c r="AD20" s="1">
        <v>3</v>
      </c>
      <c r="AE20" s="1">
        <v>1</v>
      </c>
      <c r="AF20" s="1">
        <v>1</v>
      </c>
      <c r="AG20" s="1" t="s">
        <v>80</v>
      </c>
      <c r="AH20" s="1" t="s">
        <v>80</v>
      </c>
      <c r="AI20" s="1" t="s">
        <v>96</v>
      </c>
      <c r="AJ20" s="1" t="s">
        <v>96</v>
      </c>
      <c r="AK20" s="1" t="s">
        <v>96</v>
      </c>
      <c r="AL20" s="1">
        <v>0</v>
      </c>
      <c r="AM20" s="1">
        <v>0</v>
      </c>
      <c r="AN20" s="1">
        <v>0</v>
      </c>
      <c r="AO20" s="1">
        <v>0</v>
      </c>
      <c r="AP20" s="1">
        <v>0</v>
      </c>
      <c r="AQ20" s="1">
        <v>0</v>
      </c>
      <c r="AR20" s="1">
        <v>0</v>
      </c>
      <c r="AS20" s="1">
        <v>0</v>
      </c>
      <c r="AT20" s="1">
        <v>0</v>
      </c>
      <c r="AU20" s="1">
        <v>0</v>
      </c>
      <c r="AV20" s="1">
        <v>0</v>
      </c>
      <c r="AW20" s="1">
        <v>0</v>
      </c>
      <c r="AX20" s="1">
        <v>0</v>
      </c>
      <c r="AY20" s="1">
        <v>0</v>
      </c>
      <c r="AZ20" s="1">
        <v>0</v>
      </c>
      <c r="BA20" s="1">
        <v>0</v>
      </c>
      <c r="BB20" s="1">
        <v>0</v>
      </c>
      <c r="BC20" s="1">
        <v>0</v>
      </c>
      <c r="BD20" s="1">
        <v>0</v>
      </c>
      <c r="BE20" s="1">
        <v>0</v>
      </c>
      <c r="BF20" s="1">
        <v>0</v>
      </c>
      <c r="BG20" s="1">
        <v>0</v>
      </c>
      <c r="BH20" s="1">
        <v>0</v>
      </c>
      <c r="BJ20" s="1">
        <v>0</v>
      </c>
      <c r="BM20" s="1">
        <v>4</v>
      </c>
      <c r="BN20">
        <f t="shared" si="0"/>
        <v>29</v>
      </c>
      <c r="BO20">
        <f t="shared" si="1"/>
        <v>21</v>
      </c>
      <c r="BP20">
        <f t="shared" si="2"/>
        <v>29</v>
      </c>
      <c r="BQ20">
        <f t="shared" si="3"/>
        <v>21</v>
      </c>
      <c r="BR20">
        <f t="shared" si="4"/>
        <v>0</v>
      </c>
    </row>
    <row r="21" spans="1:70" ht="13.2" x14ac:dyDescent="0.25">
      <c r="A21" s="1">
        <v>2</v>
      </c>
      <c r="B21" s="1">
        <v>3</v>
      </c>
      <c r="C21" s="1" t="s">
        <v>107</v>
      </c>
      <c r="D21" s="1" t="s">
        <v>65</v>
      </c>
      <c r="E21" s="1" t="s">
        <v>86</v>
      </c>
      <c r="F21" s="1" t="s">
        <v>67</v>
      </c>
      <c r="G21" s="1">
        <v>1</v>
      </c>
      <c r="H21" s="1" t="s">
        <v>68</v>
      </c>
      <c r="I21" s="1">
        <v>2</v>
      </c>
      <c r="J21" s="1" t="s">
        <v>70</v>
      </c>
      <c r="K21" s="1">
        <v>3</v>
      </c>
      <c r="L21" s="1">
        <v>2</v>
      </c>
      <c r="M21" s="3">
        <v>2</v>
      </c>
      <c r="N21" s="1">
        <v>1</v>
      </c>
      <c r="O21" s="1">
        <v>2</v>
      </c>
      <c r="P21" s="1">
        <v>1</v>
      </c>
      <c r="Q21" s="1">
        <v>3</v>
      </c>
      <c r="R21" s="1">
        <v>1</v>
      </c>
      <c r="S21" s="1">
        <v>5</v>
      </c>
      <c r="T21" s="1">
        <v>1</v>
      </c>
      <c r="U21" s="1">
        <v>4</v>
      </c>
      <c r="V21" s="1">
        <v>2</v>
      </c>
      <c r="W21" s="1">
        <v>5</v>
      </c>
      <c r="X21" s="1">
        <v>5</v>
      </c>
      <c r="Y21" s="1">
        <v>4</v>
      </c>
      <c r="Z21" s="1">
        <v>1</v>
      </c>
      <c r="AA21" s="1">
        <v>1</v>
      </c>
      <c r="AB21" s="1">
        <v>1</v>
      </c>
      <c r="AC21" s="1">
        <v>1</v>
      </c>
      <c r="AD21" s="1">
        <v>1</v>
      </c>
      <c r="AE21" s="1">
        <v>1</v>
      </c>
      <c r="AF21" s="1">
        <v>1</v>
      </c>
      <c r="AG21" s="1" t="s">
        <v>95</v>
      </c>
      <c r="AH21" s="1" t="s">
        <v>95</v>
      </c>
      <c r="AI21" s="1" t="s">
        <v>82</v>
      </c>
      <c r="AJ21" s="1" t="s">
        <v>81</v>
      </c>
      <c r="AK21" s="1" t="s">
        <v>81</v>
      </c>
      <c r="AL21" s="1">
        <v>0</v>
      </c>
      <c r="AM21" s="1">
        <v>0</v>
      </c>
      <c r="AN21" s="1">
        <v>0</v>
      </c>
      <c r="AO21" s="1">
        <v>1</v>
      </c>
      <c r="AP21" s="1">
        <v>0</v>
      </c>
      <c r="AQ21" s="1">
        <v>0</v>
      </c>
      <c r="AR21" s="1">
        <v>0</v>
      </c>
      <c r="AS21" s="1">
        <v>0</v>
      </c>
      <c r="AT21" s="1">
        <v>0</v>
      </c>
      <c r="AU21" s="1">
        <v>1</v>
      </c>
      <c r="AV21" s="1">
        <v>0</v>
      </c>
      <c r="AW21" s="1">
        <v>0</v>
      </c>
      <c r="AX21" s="1">
        <v>0</v>
      </c>
      <c r="AY21" s="1">
        <v>0</v>
      </c>
      <c r="AZ21" s="1">
        <v>0</v>
      </c>
      <c r="BA21" s="1">
        <v>1</v>
      </c>
      <c r="BB21" s="1">
        <v>0</v>
      </c>
      <c r="BC21" s="1">
        <v>0</v>
      </c>
      <c r="BD21" s="1">
        <v>0</v>
      </c>
      <c r="BE21" s="1">
        <v>0</v>
      </c>
      <c r="BF21" s="1">
        <v>0</v>
      </c>
      <c r="BG21" s="1">
        <v>1</v>
      </c>
      <c r="BH21" s="1">
        <v>0</v>
      </c>
      <c r="BJ21" s="1">
        <v>0</v>
      </c>
      <c r="BM21" s="1">
        <v>1</v>
      </c>
      <c r="BN21">
        <f t="shared" si="0"/>
        <v>21</v>
      </c>
      <c r="BO21">
        <f t="shared" si="1"/>
        <v>14</v>
      </c>
      <c r="BP21">
        <f t="shared" si="2"/>
        <v>21</v>
      </c>
      <c r="BQ21">
        <f t="shared" si="3"/>
        <v>14</v>
      </c>
      <c r="BR21">
        <f t="shared" si="4"/>
        <v>4</v>
      </c>
    </row>
    <row r="22" spans="1:70" ht="13.2" x14ac:dyDescent="0.25">
      <c r="A22" s="1">
        <v>2</v>
      </c>
      <c r="B22" s="1">
        <v>6</v>
      </c>
      <c r="C22" s="1" t="s">
        <v>64</v>
      </c>
      <c r="D22" s="1" t="s">
        <v>65</v>
      </c>
      <c r="E22" s="1" t="s">
        <v>86</v>
      </c>
      <c r="F22" s="1" t="s">
        <v>67</v>
      </c>
      <c r="G22" s="1">
        <v>3</v>
      </c>
      <c r="H22" s="1" t="s">
        <v>68</v>
      </c>
      <c r="I22" s="1">
        <v>4</v>
      </c>
      <c r="J22" s="1" t="s">
        <v>108</v>
      </c>
      <c r="K22" s="1">
        <v>2</v>
      </c>
      <c r="L22" s="1">
        <v>3</v>
      </c>
      <c r="M22" s="3">
        <v>3</v>
      </c>
      <c r="N22" s="1">
        <v>1</v>
      </c>
      <c r="O22" s="1">
        <v>4</v>
      </c>
      <c r="P22" s="1">
        <v>4</v>
      </c>
      <c r="Q22" s="1">
        <v>4</v>
      </c>
      <c r="R22" s="1">
        <v>3</v>
      </c>
      <c r="S22" s="1">
        <v>2</v>
      </c>
      <c r="T22" s="1">
        <v>4</v>
      </c>
      <c r="U22" s="1">
        <v>3</v>
      </c>
      <c r="V22" s="1">
        <v>1</v>
      </c>
      <c r="W22" s="1">
        <v>3</v>
      </c>
      <c r="X22" s="1">
        <v>1</v>
      </c>
      <c r="Y22" s="1">
        <v>1</v>
      </c>
      <c r="Z22" s="1">
        <v>1</v>
      </c>
      <c r="AA22" s="1">
        <v>1</v>
      </c>
      <c r="AB22" s="1">
        <v>2</v>
      </c>
      <c r="AC22" s="1">
        <v>1</v>
      </c>
      <c r="AD22" s="1">
        <v>1</v>
      </c>
      <c r="AE22" s="1">
        <v>0</v>
      </c>
      <c r="AF22" s="1">
        <v>1</v>
      </c>
      <c r="AG22" s="1" t="s">
        <v>80</v>
      </c>
      <c r="AH22" s="1" t="s">
        <v>80</v>
      </c>
      <c r="AI22" s="1" t="s">
        <v>96</v>
      </c>
      <c r="AJ22" s="1" t="s">
        <v>96</v>
      </c>
      <c r="AK22" s="1" t="s">
        <v>96</v>
      </c>
      <c r="AL22" s="1">
        <v>0</v>
      </c>
      <c r="AM22" s="1">
        <v>0</v>
      </c>
      <c r="AN22" s="1">
        <v>0</v>
      </c>
      <c r="AO22" s="1">
        <v>0</v>
      </c>
      <c r="AP22" s="1">
        <v>0</v>
      </c>
      <c r="AQ22" s="1">
        <v>0</v>
      </c>
      <c r="AR22" s="1">
        <v>0</v>
      </c>
      <c r="AS22" s="1">
        <v>0</v>
      </c>
      <c r="AT22" s="1">
        <v>0</v>
      </c>
      <c r="AU22" s="1">
        <v>1</v>
      </c>
      <c r="AV22" s="1">
        <v>1</v>
      </c>
      <c r="AW22" s="1">
        <v>1</v>
      </c>
      <c r="AX22" s="1">
        <v>0</v>
      </c>
      <c r="AY22" s="1">
        <v>1</v>
      </c>
      <c r="AZ22" s="1">
        <v>0</v>
      </c>
      <c r="BA22" s="1">
        <v>0</v>
      </c>
      <c r="BB22" s="1">
        <v>0</v>
      </c>
      <c r="BC22" s="1">
        <v>0</v>
      </c>
      <c r="BD22" s="1">
        <v>0</v>
      </c>
      <c r="BE22" s="1">
        <v>0</v>
      </c>
      <c r="BF22" s="1">
        <v>1</v>
      </c>
      <c r="BG22" s="1">
        <v>1</v>
      </c>
      <c r="BH22" s="1">
        <v>0</v>
      </c>
      <c r="BJ22" s="1">
        <v>0</v>
      </c>
      <c r="BM22" s="1" t="s">
        <v>160</v>
      </c>
      <c r="BN22">
        <f t="shared" si="0"/>
        <v>12</v>
      </c>
      <c r="BO22">
        <f t="shared" si="1"/>
        <v>22</v>
      </c>
      <c r="BP22">
        <f t="shared" si="2"/>
        <v>12</v>
      </c>
      <c r="BQ22">
        <f t="shared" si="3"/>
        <v>22</v>
      </c>
      <c r="BR22">
        <f t="shared" si="4"/>
        <v>6</v>
      </c>
    </row>
    <row r="23" spans="1:70" ht="13.2" x14ac:dyDescent="0.25">
      <c r="A23" s="1">
        <v>2</v>
      </c>
      <c r="B23" s="1">
        <v>5</v>
      </c>
      <c r="C23" s="1" t="s">
        <v>69</v>
      </c>
      <c r="D23" s="1" t="s">
        <v>65</v>
      </c>
      <c r="E23" s="1" t="s">
        <v>86</v>
      </c>
      <c r="F23" s="1" t="s">
        <v>67</v>
      </c>
      <c r="G23" s="1">
        <v>3</v>
      </c>
      <c r="H23" s="1" t="s">
        <v>68</v>
      </c>
      <c r="I23" s="1">
        <v>4</v>
      </c>
      <c r="J23" s="1" t="s">
        <v>126</v>
      </c>
      <c r="K23" s="1">
        <v>4</v>
      </c>
      <c r="L23" s="1">
        <v>2</v>
      </c>
      <c r="M23" s="3">
        <v>2</v>
      </c>
      <c r="N23" s="1">
        <v>1</v>
      </c>
      <c r="O23" s="1">
        <v>1</v>
      </c>
      <c r="P23" s="1">
        <v>1</v>
      </c>
      <c r="Q23" s="1">
        <v>3</v>
      </c>
      <c r="R23" s="1">
        <v>1</v>
      </c>
      <c r="S23" s="1">
        <v>3</v>
      </c>
      <c r="T23" s="1">
        <v>1</v>
      </c>
      <c r="U23" s="1">
        <v>1</v>
      </c>
      <c r="V23" s="1">
        <v>2</v>
      </c>
      <c r="W23" s="1">
        <v>4</v>
      </c>
      <c r="X23" s="1">
        <v>3</v>
      </c>
      <c r="Y23" s="1">
        <v>1</v>
      </c>
      <c r="Z23" s="1">
        <v>1</v>
      </c>
      <c r="AA23" s="1">
        <v>1</v>
      </c>
      <c r="AB23" s="1">
        <v>2</v>
      </c>
      <c r="AC23" s="1">
        <v>1</v>
      </c>
      <c r="AD23" s="1">
        <v>1</v>
      </c>
      <c r="AE23" s="1">
        <v>1</v>
      </c>
      <c r="AF23" s="1">
        <v>1</v>
      </c>
      <c r="AG23" s="1" t="s">
        <v>80</v>
      </c>
      <c r="AH23" s="1" t="s">
        <v>79</v>
      </c>
      <c r="AI23" s="1" t="s">
        <v>96</v>
      </c>
      <c r="AJ23" s="1" t="s">
        <v>96</v>
      </c>
      <c r="AK23" s="1" t="s">
        <v>96</v>
      </c>
      <c r="AL23" s="1">
        <v>0</v>
      </c>
      <c r="AM23" s="1">
        <v>0</v>
      </c>
      <c r="AN23" s="1">
        <v>0</v>
      </c>
      <c r="AO23" s="1">
        <v>0</v>
      </c>
      <c r="AP23" s="1">
        <v>0</v>
      </c>
      <c r="AQ23" s="1">
        <v>0</v>
      </c>
      <c r="AR23" s="1">
        <v>0</v>
      </c>
      <c r="AS23" s="1">
        <v>0</v>
      </c>
      <c r="AT23" s="1">
        <v>0</v>
      </c>
      <c r="AU23" s="1">
        <v>1</v>
      </c>
      <c r="AV23" s="1">
        <v>0</v>
      </c>
      <c r="AW23" s="1">
        <v>0</v>
      </c>
      <c r="AX23" s="1">
        <v>0</v>
      </c>
      <c r="AY23" s="1">
        <v>0</v>
      </c>
      <c r="AZ23" s="1">
        <v>0</v>
      </c>
      <c r="BA23" s="1">
        <v>0</v>
      </c>
      <c r="BB23" s="1">
        <v>0</v>
      </c>
      <c r="BC23" s="1">
        <v>0</v>
      </c>
      <c r="BD23" s="1">
        <v>0</v>
      </c>
      <c r="BE23" s="1">
        <v>0</v>
      </c>
      <c r="BF23" s="1">
        <v>0</v>
      </c>
      <c r="BG23" s="1">
        <v>1</v>
      </c>
      <c r="BH23" s="1">
        <v>0</v>
      </c>
      <c r="BJ23" s="1">
        <v>0</v>
      </c>
      <c r="BM23" s="1">
        <v>0</v>
      </c>
      <c r="BN23">
        <f t="shared" si="0"/>
        <v>16</v>
      </c>
      <c r="BO23">
        <f t="shared" si="1"/>
        <v>11</v>
      </c>
      <c r="BP23">
        <f t="shared" si="2"/>
        <v>16</v>
      </c>
      <c r="BQ23">
        <f t="shared" si="3"/>
        <v>11</v>
      </c>
      <c r="BR23">
        <f t="shared" si="4"/>
        <v>2</v>
      </c>
    </row>
    <row r="24" spans="1:70" ht="13.2" x14ac:dyDescent="0.25">
      <c r="A24" s="1">
        <v>2</v>
      </c>
      <c r="B24" s="1"/>
      <c r="C24" s="1" t="s">
        <v>118</v>
      </c>
      <c r="D24" s="1" t="s">
        <v>65</v>
      </c>
      <c r="E24" s="1" t="s">
        <v>86</v>
      </c>
      <c r="F24" s="1" t="s">
        <v>110</v>
      </c>
      <c r="G24" s="1">
        <v>2</v>
      </c>
      <c r="H24" s="1" t="s">
        <v>68</v>
      </c>
      <c r="I24" s="1" t="s">
        <v>129</v>
      </c>
      <c r="J24" s="1" t="s">
        <v>132</v>
      </c>
      <c r="K24" s="1">
        <v>1</v>
      </c>
      <c r="L24" s="1">
        <v>1</v>
      </c>
      <c r="M24" s="3">
        <v>1</v>
      </c>
      <c r="N24" s="1">
        <v>4</v>
      </c>
      <c r="O24" s="1">
        <v>4</v>
      </c>
      <c r="P24" s="1">
        <v>4</v>
      </c>
      <c r="Q24" s="1">
        <v>4</v>
      </c>
      <c r="R24" s="1">
        <v>3</v>
      </c>
      <c r="S24" s="1">
        <v>3</v>
      </c>
      <c r="T24" s="1">
        <v>1</v>
      </c>
      <c r="U24" s="1">
        <v>2</v>
      </c>
      <c r="V24" s="1">
        <v>4</v>
      </c>
      <c r="W24" s="1">
        <v>3</v>
      </c>
      <c r="X24" s="1">
        <v>3</v>
      </c>
      <c r="Y24" s="1">
        <v>3</v>
      </c>
      <c r="Z24" s="1">
        <v>3</v>
      </c>
      <c r="AA24" s="1">
        <v>3</v>
      </c>
      <c r="AB24" s="1">
        <v>3</v>
      </c>
      <c r="AC24" s="1">
        <v>2</v>
      </c>
      <c r="AD24" s="1">
        <v>2</v>
      </c>
      <c r="AE24" s="1">
        <v>1</v>
      </c>
      <c r="AF24" s="1">
        <v>0</v>
      </c>
      <c r="AG24" s="1" t="s">
        <v>120</v>
      </c>
      <c r="AH24" s="1" t="s">
        <v>80</v>
      </c>
      <c r="AI24" s="1" t="s">
        <v>81</v>
      </c>
      <c r="AJ24" s="1" t="s">
        <v>81</v>
      </c>
      <c r="AK24" s="1" t="s">
        <v>81</v>
      </c>
      <c r="AL24" s="1">
        <v>0</v>
      </c>
      <c r="AM24" s="1">
        <v>0</v>
      </c>
      <c r="AN24" s="1">
        <v>0</v>
      </c>
      <c r="AO24" s="1">
        <v>0</v>
      </c>
      <c r="AP24" s="1">
        <v>0</v>
      </c>
      <c r="AQ24" s="1">
        <v>0</v>
      </c>
      <c r="AR24" s="1">
        <v>0</v>
      </c>
      <c r="AS24" s="1">
        <v>0</v>
      </c>
      <c r="AT24" s="1">
        <v>0</v>
      </c>
      <c r="AU24" s="1">
        <v>0</v>
      </c>
      <c r="AV24" s="1">
        <v>0</v>
      </c>
      <c r="AW24" s="1">
        <v>0</v>
      </c>
      <c r="AX24" s="1">
        <v>0</v>
      </c>
      <c r="AY24" s="1">
        <v>0</v>
      </c>
      <c r="AZ24" s="1">
        <v>0</v>
      </c>
      <c r="BA24" s="1">
        <v>0</v>
      </c>
      <c r="BB24" s="1">
        <v>0</v>
      </c>
      <c r="BC24" s="1">
        <v>0</v>
      </c>
      <c r="BD24" s="1">
        <v>0</v>
      </c>
      <c r="BE24" s="1">
        <v>0</v>
      </c>
      <c r="BF24" s="1">
        <v>0</v>
      </c>
      <c r="BG24" s="1">
        <v>0</v>
      </c>
      <c r="BH24" s="1">
        <v>0</v>
      </c>
      <c r="BJ24" s="1">
        <v>0</v>
      </c>
      <c r="BM24" s="1">
        <v>0</v>
      </c>
      <c r="BN24">
        <f t="shared" si="0"/>
        <v>26</v>
      </c>
      <c r="BO24">
        <f t="shared" si="1"/>
        <v>23</v>
      </c>
      <c r="BP24">
        <f t="shared" si="2"/>
        <v>26</v>
      </c>
      <c r="BQ24">
        <f t="shared" si="3"/>
        <v>23</v>
      </c>
      <c r="BR24">
        <f t="shared" si="4"/>
        <v>0</v>
      </c>
    </row>
    <row r="25" spans="1:70" ht="13.2" x14ac:dyDescent="0.25">
      <c r="A25" s="1">
        <v>2</v>
      </c>
      <c r="B25" s="1">
        <v>2</v>
      </c>
      <c r="C25" s="1" t="s">
        <v>113</v>
      </c>
      <c r="D25" s="1" t="s">
        <v>65</v>
      </c>
      <c r="E25" s="1" t="s">
        <v>86</v>
      </c>
      <c r="F25" s="1" t="s">
        <v>67</v>
      </c>
      <c r="G25" s="1">
        <v>2</v>
      </c>
      <c r="H25" s="1" t="s">
        <v>88</v>
      </c>
      <c r="I25" s="1"/>
      <c r="J25" s="1" t="s">
        <v>133</v>
      </c>
      <c r="K25" s="1">
        <v>3</v>
      </c>
      <c r="L25" s="1">
        <v>1</v>
      </c>
      <c r="M25" s="3">
        <v>1</v>
      </c>
      <c r="N25" s="1">
        <v>1</v>
      </c>
      <c r="O25" s="1">
        <v>3</v>
      </c>
      <c r="P25" s="1">
        <v>4</v>
      </c>
      <c r="Q25" s="1">
        <v>4</v>
      </c>
      <c r="R25" s="1">
        <v>4</v>
      </c>
      <c r="S25" s="1">
        <v>2</v>
      </c>
      <c r="T25" s="1">
        <v>4</v>
      </c>
      <c r="U25" s="1">
        <v>3</v>
      </c>
      <c r="V25" s="1">
        <v>3</v>
      </c>
      <c r="W25" s="1">
        <v>5</v>
      </c>
      <c r="X25" s="1">
        <v>3</v>
      </c>
      <c r="Y25" s="1">
        <v>3</v>
      </c>
      <c r="Z25" s="1">
        <v>4</v>
      </c>
      <c r="AA25" s="1">
        <v>2</v>
      </c>
      <c r="AB25" s="1">
        <v>2</v>
      </c>
      <c r="AC25" s="1">
        <v>1</v>
      </c>
      <c r="AD25" s="1">
        <v>1</v>
      </c>
      <c r="AE25" s="1">
        <v>1</v>
      </c>
      <c r="AF25" s="1">
        <v>1</v>
      </c>
      <c r="AG25" s="1" t="s">
        <v>120</v>
      </c>
      <c r="AH25" s="1" t="s">
        <v>80</v>
      </c>
      <c r="AI25" s="1" t="s">
        <v>96</v>
      </c>
      <c r="AJ25" s="1" t="s">
        <v>96</v>
      </c>
      <c r="AK25" s="1" t="s">
        <v>96</v>
      </c>
      <c r="AL25" s="1">
        <v>0</v>
      </c>
      <c r="AM25" s="1">
        <v>0</v>
      </c>
      <c r="AN25" s="1">
        <v>0</v>
      </c>
      <c r="AO25" s="1">
        <v>0</v>
      </c>
      <c r="AP25" s="1">
        <v>0</v>
      </c>
      <c r="AQ25" s="1">
        <v>0</v>
      </c>
      <c r="AR25" s="1">
        <v>0</v>
      </c>
      <c r="AS25" s="1">
        <v>0</v>
      </c>
      <c r="AT25" s="1">
        <v>0</v>
      </c>
      <c r="AU25" s="1">
        <v>0</v>
      </c>
      <c r="AV25" s="1">
        <v>0</v>
      </c>
      <c r="AW25" s="1">
        <v>0</v>
      </c>
      <c r="AX25" s="1">
        <v>0</v>
      </c>
      <c r="AY25" s="1">
        <v>0</v>
      </c>
      <c r="AZ25" s="1">
        <v>0</v>
      </c>
      <c r="BA25" s="1">
        <v>0</v>
      </c>
      <c r="BB25" s="1">
        <v>0</v>
      </c>
      <c r="BC25" s="1">
        <v>0</v>
      </c>
      <c r="BE25" s="1">
        <v>0</v>
      </c>
      <c r="BF25" s="1">
        <v>0</v>
      </c>
      <c r="BG25" s="1">
        <v>0</v>
      </c>
      <c r="BH25" s="1">
        <v>0</v>
      </c>
      <c r="BJ25" s="1">
        <v>0</v>
      </c>
      <c r="BM25" s="1">
        <v>0</v>
      </c>
      <c r="BN25">
        <f t="shared" si="0"/>
        <v>24</v>
      </c>
      <c r="BO25">
        <f t="shared" si="1"/>
        <v>22</v>
      </c>
      <c r="BP25">
        <f t="shared" si="2"/>
        <v>24</v>
      </c>
      <c r="BQ25">
        <f t="shared" si="3"/>
        <v>22</v>
      </c>
      <c r="BR25">
        <f t="shared" si="4"/>
        <v>0</v>
      </c>
    </row>
    <row r="26" spans="1:70" ht="13.2" x14ac:dyDescent="0.25">
      <c r="A26" s="1">
        <v>2</v>
      </c>
      <c r="B26" s="1">
        <v>4</v>
      </c>
      <c r="C26" s="1" t="s">
        <v>89</v>
      </c>
      <c r="D26" s="1" t="s">
        <v>65</v>
      </c>
      <c r="E26" s="1" t="s">
        <v>86</v>
      </c>
      <c r="F26" s="1" t="s">
        <v>67</v>
      </c>
      <c r="G26" s="1">
        <v>2</v>
      </c>
      <c r="H26" s="1" t="s">
        <v>68</v>
      </c>
      <c r="I26" s="1">
        <v>3</v>
      </c>
      <c r="J26" s="1" t="s">
        <v>127</v>
      </c>
      <c r="K26" s="1">
        <v>5</v>
      </c>
      <c r="L26" s="1">
        <v>2</v>
      </c>
      <c r="M26" s="3">
        <v>2</v>
      </c>
      <c r="N26" s="1">
        <v>1</v>
      </c>
      <c r="O26" s="1">
        <v>1</v>
      </c>
      <c r="P26" s="1">
        <v>4</v>
      </c>
      <c r="Q26" s="1">
        <v>1</v>
      </c>
      <c r="R26" s="1">
        <v>1</v>
      </c>
      <c r="S26" s="1">
        <v>3</v>
      </c>
      <c r="T26" s="1">
        <v>1</v>
      </c>
      <c r="U26" s="1">
        <v>4</v>
      </c>
      <c r="V26" s="1">
        <v>4</v>
      </c>
      <c r="W26" s="1">
        <v>5</v>
      </c>
      <c r="X26" s="1">
        <v>3</v>
      </c>
      <c r="Y26" s="1">
        <v>1</v>
      </c>
      <c r="Z26" s="1">
        <v>1</v>
      </c>
      <c r="AA26" s="1">
        <v>3</v>
      </c>
      <c r="AB26" s="1">
        <v>2</v>
      </c>
      <c r="AC26" s="1">
        <v>1</v>
      </c>
      <c r="AD26" s="1">
        <v>1</v>
      </c>
      <c r="AE26" s="1">
        <v>1</v>
      </c>
      <c r="AF26" s="1">
        <v>1</v>
      </c>
      <c r="AG26" s="1" t="s">
        <v>80</v>
      </c>
      <c r="AH26" s="1" t="s">
        <v>80</v>
      </c>
      <c r="AI26" s="1" t="s">
        <v>112</v>
      </c>
      <c r="AJ26" s="1" t="s">
        <v>112</v>
      </c>
      <c r="AK26" s="1" t="s">
        <v>82</v>
      </c>
      <c r="AL26" s="1">
        <v>0</v>
      </c>
      <c r="AM26" s="1">
        <v>0</v>
      </c>
      <c r="AN26" s="1">
        <v>0</v>
      </c>
      <c r="AO26" s="1">
        <v>1</v>
      </c>
      <c r="AP26" s="1">
        <v>1</v>
      </c>
      <c r="AQ26" s="1">
        <v>0</v>
      </c>
      <c r="AR26" s="1">
        <v>0</v>
      </c>
      <c r="AS26" s="1">
        <v>0</v>
      </c>
      <c r="AT26" s="1">
        <v>0</v>
      </c>
      <c r="AU26" s="1">
        <v>1</v>
      </c>
      <c r="AV26" s="1">
        <v>0</v>
      </c>
      <c r="AW26" s="1">
        <v>0</v>
      </c>
      <c r="AX26" s="1">
        <v>0</v>
      </c>
      <c r="AY26" s="1">
        <v>0</v>
      </c>
      <c r="AZ26" s="1">
        <v>0</v>
      </c>
      <c r="BA26" s="1">
        <v>1</v>
      </c>
      <c r="BB26" s="1">
        <v>1</v>
      </c>
      <c r="BC26" s="1">
        <v>0</v>
      </c>
      <c r="BD26" s="1">
        <v>0</v>
      </c>
      <c r="BE26" s="1">
        <v>0</v>
      </c>
      <c r="BF26" s="1">
        <v>0</v>
      </c>
      <c r="BG26" s="1">
        <v>1</v>
      </c>
      <c r="BH26" s="1">
        <v>0</v>
      </c>
      <c r="BJ26" s="1">
        <v>1</v>
      </c>
      <c r="BM26" s="1">
        <v>0</v>
      </c>
      <c r="BN26">
        <f t="shared" si="0"/>
        <v>21</v>
      </c>
      <c r="BO26">
        <f t="shared" si="1"/>
        <v>12</v>
      </c>
      <c r="BP26">
        <f t="shared" si="2"/>
        <v>21</v>
      </c>
      <c r="BQ26">
        <f t="shared" si="3"/>
        <v>12</v>
      </c>
      <c r="BR26">
        <f t="shared" si="4"/>
        <v>7</v>
      </c>
    </row>
    <row r="27" spans="1:70" ht="13.2" x14ac:dyDescent="0.25">
      <c r="A27" s="1">
        <v>2</v>
      </c>
      <c r="B27" s="1">
        <v>2</v>
      </c>
      <c r="C27" s="1" t="s">
        <v>113</v>
      </c>
      <c r="D27" s="1" t="s">
        <v>65</v>
      </c>
      <c r="E27" s="1" t="s">
        <v>86</v>
      </c>
      <c r="F27" s="1" t="s">
        <v>110</v>
      </c>
      <c r="G27" s="1">
        <v>2</v>
      </c>
      <c r="H27" s="1" t="s">
        <v>99</v>
      </c>
      <c r="I27" s="1" t="s">
        <v>129</v>
      </c>
      <c r="J27" s="1" t="s">
        <v>130</v>
      </c>
      <c r="K27" s="1">
        <v>2</v>
      </c>
      <c r="L27" s="1">
        <v>1</v>
      </c>
      <c r="M27" s="3">
        <v>1</v>
      </c>
      <c r="N27" s="1">
        <v>1</v>
      </c>
      <c r="O27" s="1">
        <v>1</v>
      </c>
      <c r="P27" s="1">
        <v>4</v>
      </c>
      <c r="Q27" s="1">
        <v>1</v>
      </c>
      <c r="R27" s="1">
        <v>1</v>
      </c>
      <c r="S27" s="1">
        <v>1</v>
      </c>
      <c r="T27" s="1">
        <v>1</v>
      </c>
      <c r="U27" s="1">
        <v>4</v>
      </c>
      <c r="V27" s="1">
        <v>4</v>
      </c>
      <c r="W27" s="1">
        <v>5</v>
      </c>
      <c r="X27" s="1">
        <v>3</v>
      </c>
      <c r="Y27" s="1">
        <v>5</v>
      </c>
      <c r="Z27" s="1">
        <v>1</v>
      </c>
      <c r="AA27" s="1">
        <v>5</v>
      </c>
      <c r="AB27" s="1">
        <v>3</v>
      </c>
      <c r="AC27" s="1">
        <v>4</v>
      </c>
      <c r="AD27" s="1">
        <v>2</v>
      </c>
      <c r="AE27" s="1">
        <v>1</v>
      </c>
      <c r="AF27" s="1">
        <v>1</v>
      </c>
      <c r="AG27" s="1" t="s">
        <v>80</v>
      </c>
      <c r="AH27" s="1" t="s">
        <v>80</v>
      </c>
      <c r="AI27" s="1" t="s">
        <v>109</v>
      </c>
      <c r="AJ27" s="1" t="s">
        <v>82</v>
      </c>
      <c r="AK27" s="1" t="s">
        <v>81</v>
      </c>
      <c r="AL27" s="1">
        <v>0</v>
      </c>
      <c r="AM27" s="1">
        <v>0</v>
      </c>
      <c r="AN27" s="1">
        <v>0</v>
      </c>
      <c r="AO27" s="1">
        <v>0</v>
      </c>
      <c r="AP27" s="1">
        <v>0</v>
      </c>
      <c r="AQ27" s="1">
        <v>0</v>
      </c>
      <c r="AR27" s="1">
        <v>0</v>
      </c>
      <c r="AS27" s="1">
        <v>0</v>
      </c>
      <c r="AT27" s="1">
        <v>0</v>
      </c>
      <c r="AU27" s="1">
        <v>0</v>
      </c>
      <c r="AV27" s="1">
        <v>0</v>
      </c>
      <c r="AW27" s="1">
        <v>0</v>
      </c>
      <c r="AX27" s="1">
        <v>0</v>
      </c>
      <c r="AY27" s="1">
        <v>0</v>
      </c>
      <c r="AZ27" s="1">
        <v>0</v>
      </c>
      <c r="BA27" s="1">
        <v>0</v>
      </c>
      <c r="BB27" s="1">
        <v>0</v>
      </c>
      <c r="BC27" s="1">
        <v>0</v>
      </c>
      <c r="BD27" s="1">
        <v>0</v>
      </c>
      <c r="BE27" s="1">
        <v>0</v>
      </c>
      <c r="BF27" s="1">
        <v>0</v>
      </c>
      <c r="BG27" s="1">
        <v>0</v>
      </c>
      <c r="BH27" s="1">
        <v>0</v>
      </c>
      <c r="BJ27" s="1">
        <v>0</v>
      </c>
      <c r="BM27" s="1">
        <v>0</v>
      </c>
      <c r="BN27">
        <f t="shared" si="0"/>
        <v>32</v>
      </c>
      <c r="BO27">
        <f t="shared" si="1"/>
        <v>10</v>
      </c>
      <c r="BP27">
        <f t="shared" si="2"/>
        <v>32</v>
      </c>
      <c r="BQ27">
        <f t="shared" si="3"/>
        <v>10</v>
      </c>
      <c r="BR27">
        <f t="shared" si="4"/>
        <v>0</v>
      </c>
    </row>
    <row r="28" spans="1:70" ht="13.2" x14ac:dyDescent="0.25">
      <c r="A28" s="1">
        <v>2</v>
      </c>
      <c r="B28" s="1">
        <v>3</v>
      </c>
      <c r="C28" s="1" t="s">
        <v>107</v>
      </c>
      <c r="D28" s="1" t="s">
        <v>65</v>
      </c>
      <c r="E28" s="1" t="s">
        <v>86</v>
      </c>
      <c r="F28" s="1" t="s">
        <v>110</v>
      </c>
      <c r="G28" s="1">
        <v>2</v>
      </c>
      <c r="H28" s="1" t="s">
        <v>99</v>
      </c>
      <c r="I28" s="1">
        <v>3</v>
      </c>
      <c r="J28" s="1" t="s">
        <v>134</v>
      </c>
      <c r="K28" s="1">
        <v>4</v>
      </c>
      <c r="L28" s="1">
        <v>2</v>
      </c>
      <c r="M28" s="3">
        <v>2</v>
      </c>
      <c r="N28" s="1">
        <v>4</v>
      </c>
      <c r="O28" s="1">
        <v>4</v>
      </c>
      <c r="P28" s="1">
        <v>2</v>
      </c>
      <c r="Q28" s="1">
        <v>4</v>
      </c>
      <c r="R28" s="1">
        <v>1</v>
      </c>
      <c r="S28" s="1">
        <v>2</v>
      </c>
      <c r="T28" s="1">
        <v>1</v>
      </c>
      <c r="U28" s="1">
        <v>3</v>
      </c>
      <c r="V28" s="1">
        <v>4</v>
      </c>
      <c r="W28" s="1">
        <v>5</v>
      </c>
      <c r="X28" s="1">
        <v>5</v>
      </c>
      <c r="Y28" s="1">
        <v>1</v>
      </c>
      <c r="Z28" s="1">
        <v>1</v>
      </c>
      <c r="AA28" s="1">
        <v>1</v>
      </c>
      <c r="AB28" s="1">
        <v>3</v>
      </c>
      <c r="AC28" s="1">
        <v>3</v>
      </c>
      <c r="AD28" s="1">
        <v>2</v>
      </c>
      <c r="AE28" s="1">
        <v>0</v>
      </c>
      <c r="AF28" s="1">
        <v>0</v>
      </c>
      <c r="AG28" s="1" t="s">
        <v>79</v>
      </c>
      <c r="AH28" s="1" t="s">
        <v>80</v>
      </c>
      <c r="AI28" s="1" t="s">
        <v>96</v>
      </c>
      <c r="AJ28" s="1" t="s">
        <v>96</v>
      </c>
      <c r="AK28" s="1" t="s">
        <v>96</v>
      </c>
      <c r="AL28" s="1">
        <v>0</v>
      </c>
      <c r="AM28" s="1">
        <v>0</v>
      </c>
      <c r="AN28" s="1">
        <v>0</v>
      </c>
      <c r="AO28" s="1">
        <v>0</v>
      </c>
      <c r="AP28" s="1">
        <v>0</v>
      </c>
      <c r="AQ28" s="1">
        <v>0</v>
      </c>
      <c r="AR28" s="1">
        <v>0</v>
      </c>
      <c r="AS28" s="1">
        <v>0</v>
      </c>
      <c r="AT28" s="1">
        <v>0</v>
      </c>
      <c r="AU28" s="1">
        <v>0</v>
      </c>
      <c r="AV28" s="1">
        <v>0</v>
      </c>
      <c r="AW28" s="1">
        <v>0</v>
      </c>
      <c r="AX28" s="1">
        <v>0</v>
      </c>
      <c r="AY28" s="1">
        <v>0</v>
      </c>
      <c r="AZ28" s="1">
        <v>0</v>
      </c>
      <c r="BA28" s="1">
        <v>0</v>
      </c>
      <c r="BB28" s="1">
        <v>0</v>
      </c>
      <c r="BC28" s="1">
        <v>0</v>
      </c>
      <c r="BD28" s="1">
        <v>0</v>
      </c>
      <c r="BE28" s="1">
        <v>0</v>
      </c>
      <c r="BF28" s="1">
        <v>0</v>
      </c>
      <c r="BG28" s="1">
        <v>0</v>
      </c>
      <c r="BH28" s="1">
        <v>0</v>
      </c>
      <c r="BJ28" s="1">
        <v>0</v>
      </c>
      <c r="BK28" s="1"/>
      <c r="BM28" s="1">
        <v>0</v>
      </c>
      <c r="BN28">
        <f t="shared" si="0"/>
        <v>25</v>
      </c>
      <c r="BO28">
        <f t="shared" si="1"/>
        <v>18</v>
      </c>
      <c r="BP28">
        <f t="shared" si="2"/>
        <v>25</v>
      </c>
      <c r="BQ28">
        <f t="shared" si="3"/>
        <v>18</v>
      </c>
      <c r="BR28">
        <f t="shared" si="4"/>
        <v>0</v>
      </c>
    </row>
    <row r="29" spans="1:70" ht="13.2" x14ac:dyDescent="0.25">
      <c r="A29" s="1">
        <v>2</v>
      </c>
      <c r="B29" s="1">
        <v>3</v>
      </c>
      <c r="C29" s="1" t="s">
        <v>107</v>
      </c>
      <c r="D29" s="1" t="s">
        <v>65</v>
      </c>
      <c r="E29" s="1" t="s">
        <v>86</v>
      </c>
      <c r="F29" s="1" t="s">
        <v>67</v>
      </c>
      <c r="G29" s="1">
        <v>3</v>
      </c>
      <c r="H29" s="1" t="s">
        <v>68</v>
      </c>
      <c r="I29" s="1">
        <v>3</v>
      </c>
      <c r="J29" s="1" t="s">
        <v>135</v>
      </c>
      <c r="K29" s="1">
        <v>4</v>
      </c>
      <c r="L29" s="1">
        <v>1</v>
      </c>
      <c r="M29" s="3">
        <v>1</v>
      </c>
      <c r="N29" s="1">
        <v>1</v>
      </c>
      <c r="O29" s="1">
        <v>1</v>
      </c>
      <c r="P29" s="1">
        <v>1</v>
      </c>
      <c r="Q29" s="1">
        <v>1</v>
      </c>
      <c r="R29" s="1">
        <v>1</v>
      </c>
      <c r="S29" s="1">
        <v>5</v>
      </c>
      <c r="T29" s="1">
        <v>1</v>
      </c>
      <c r="U29" s="1">
        <v>1</v>
      </c>
      <c r="V29" s="1">
        <v>5</v>
      </c>
      <c r="W29" s="1">
        <v>5</v>
      </c>
      <c r="X29" s="1">
        <v>5</v>
      </c>
      <c r="Y29" s="1">
        <v>1</v>
      </c>
      <c r="Z29" s="1">
        <v>1</v>
      </c>
      <c r="AA29" s="1">
        <v>3</v>
      </c>
      <c r="AB29" s="1">
        <v>1</v>
      </c>
      <c r="AC29" s="1">
        <v>1</v>
      </c>
      <c r="AD29" s="1">
        <v>1</v>
      </c>
      <c r="AE29" s="1">
        <v>1</v>
      </c>
      <c r="AF29" s="1">
        <v>0</v>
      </c>
      <c r="AG29" s="1" t="s">
        <v>80</v>
      </c>
      <c r="AH29" s="1" t="s">
        <v>80</v>
      </c>
      <c r="AI29" s="1" t="s">
        <v>82</v>
      </c>
      <c r="AJ29" s="1" t="s">
        <v>82</v>
      </c>
      <c r="AK29" s="1" t="s">
        <v>82</v>
      </c>
      <c r="AL29" s="1">
        <v>0</v>
      </c>
      <c r="AM29" s="1">
        <v>0</v>
      </c>
      <c r="AN29" s="1">
        <v>0</v>
      </c>
      <c r="AO29" s="1">
        <v>1</v>
      </c>
      <c r="AP29" s="1">
        <v>0</v>
      </c>
      <c r="AQ29" s="1">
        <v>0</v>
      </c>
      <c r="AR29" s="1">
        <v>0</v>
      </c>
      <c r="AS29" s="1">
        <v>0</v>
      </c>
      <c r="AT29" s="1">
        <v>0</v>
      </c>
      <c r="AU29" s="1">
        <v>1</v>
      </c>
      <c r="AV29" s="1">
        <v>0</v>
      </c>
      <c r="AW29" s="1">
        <v>0</v>
      </c>
      <c r="AX29" s="1">
        <v>0</v>
      </c>
      <c r="AY29" s="1">
        <v>0</v>
      </c>
      <c r="AZ29" s="1">
        <v>0</v>
      </c>
      <c r="BA29" s="1">
        <v>1</v>
      </c>
      <c r="BB29" s="1">
        <v>0</v>
      </c>
      <c r="BC29" s="1">
        <v>0</v>
      </c>
      <c r="BD29" s="1">
        <v>0</v>
      </c>
      <c r="BE29" s="1">
        <v>0</v>
      </c>
      <c r="BF29" s="1">
        <v>0</v>
      </c>
      <c r="BG29" s="1">
        <v>1</v>
      </c>
      <c r="BH29" s="1">
        <v>0</v>
      </c>
      <c r="BJ29" s="1">
        <v>0</v>
      </c>
      <c r="BM29" s="1">
        <v>0</v>
      </c>
      <c r="BN29">
        <f t="shared" si="0"/>
        <v>23</v>
      </c>
      <c r="BO29">
        <f t="shared" si="1"/>
        <v>11</v>
      </c>
      <c r="BP29">
        <f t="shared" si="2"/>
        <v>23</v>
      </c>
      <c r="BQ29">
        <f t="shared" si="3"/>
        <v>11</v>
      </c>
      <c r="BR29">
        <f t="shared" si="4"/>
        <v>4</v>
      </c>
    </row>
    <row r="30" spans="1:70" ht="13.2" x14ac:dyDescent="0.25">
      <c r="A30" s="1">
        <v>2</v>
      </c>
      <c r="B30" s="1">
        <v>5</v>
      </c>
      <c r="C30" s="1" t="s">
        <v>69</v>
      </c>
      <c r="D30" s="1" t="s">
        <v>65</v>
      </c>
      <c r="E30" s="1" t="s">
        <v>86</v>
      </c>
      <c r="F30" s="1" t="s">
        <v>67</v>
      </c>
      <c r="G30" s="1">
        <v>3</v>
      </c>
      <c r="H30" s="1" t="s">
        <v>68</v>
      </c>
      <c r="I30" s="1">
        <v>4</v>
      </c>
      <c r="J30" s="1" t="s">
        <v>126</v>
      </c>
      <c r="K30" s="1">
        <v>4</v>
      </c>
      <c r="L30" s="1">
        <v>2</v>
      </c>
      <c r="M30" s="3">
        <v>3</v>
      </c>
      <c r="N30" s="1">
        <v>1</v>
      </c>
      <c r="O30" s="1">
        <v>4</v>
      </c>
      <c r="P30" s="1">
        <v>1</v>
      </c>
      <c r="Q30" s="1">
        <v>3</v>
      </c>
      <c r="R30" s="1">
        <v>1</v>
      </c>
      <c r="S30" s="1">
        <v>5</v>
      </c>
      <c r="T30" s="1">
        <v>1</v>
      </c>
      <c r="U30" s="1">
        <v>4</v>
      </c>
      <c r="V30" s="1">
        <v>4</v>
      </c>
      <c r="W30" s="1">
        <v>3</v>
      </c>
      <c r="X30" s="1">
        <v>3</v>
      </c>
      <c r="Y30" s="1">
        <v>1</v>
      </c>
      <c r="Z30" s="1">
        <v>1</v>
      </c>
      <c r="AA30" s="1">
        <v>1</v>
      </c>
      <c r="AB30" s="1">
        <v>2</v>
      </c>
      <c r="AC30" s="1">
        <v>2</v>
      </c>
      <c r="AD30" s="1">
        <v>1</v>
      </c>
      <c r="AE30" s="1">
        <v>1</v>
      </c>
      <c r="AF30" s="1">
        <v>1</v>
      </c>
      <c r="AG30" s="1" t="s">
        <v>80</v>
      </c>
      <c r="AH30" s="1" t="s">
        <v>80</v>
      </c>
      <c r="AI30" s="1" t="s">
        <v>96</v>
      </c>
      <c r="AJ30" s="1" t="s">
        <v>96</v>
      </c>
      <c r="AK30" s="1" t="s">
        <v>96</v>
      </c>
      <c r="AL30" s="1">
        <v>0</v>
      </c>
      <c r="AM30" s="1">
        <v>0</v>
      </c>
      <c r="AN30" s="1">
        <v>0</v>
      </c>
      <c r="AO30" s="1">
        <v>0</v>
      </c>
      <c r="AP30" s="1">
        <v>0</v>
      </c>
      <c r="AQ30" s="1">
        <v>0</v>
      </c>
      <c r="AR30" s="1">
        <v>0</v>
      </c>
      <c r="AS30" s="1">
        <v>1</v>
      </c>
      <c r="AT30" s="1">
        <v>0</v>
      </c>
      <c r="AU30" s="1">
        <v>0</v>
      </c>
      <c r="AV30" s="1">
        <v>0</v>
      </c>
      <c r="AW30" s="1">
        <v>1</v>
      </c>
      <c r="AX30" s="1">
        <v>0</v>
      </c>
      <c r="AY30" s="1">
        <v>0</v>
      </c>
      <c r="AZ30" s="1">
        <v>0</v>
      </c>
      <c r="BA30" s="1">
        <v>0</v>
      </c>
      <c r="BB30" s="1">
        <v>0</v>
      </c>
      <c r="BC30" s="1">
        <v>0</v>
      </c>
      <c r="BD30" s="1">
        <v>0</v>
      </c>
      <c r="BE30" s="1">
        <v>1</v>
      </c>
      <c r="BF30" s="1">
        <v>0</v>
      </c>
      <c r="BG30" s="1">
        <v>1</v>
      </c>
      <c r="BH30" s="1">
        <v>0</v>
      </c>
      <c r="BJ30" s="1">
        <v>1</v>
      </c>
      <c r="BK30" s="1"/>
      <c r="BM30" s="1">
        <v>0</v>
      </c>
      <c r="BN30">
        <f t="shared" si="0"/>
        <v>18</v>
      </c>
      <c r="BO30">
        <f t="shared" si="1"/>
        <v>16</v>
      </c>
      <c r="BP30">
        <f t="shared" si="2"/>
        <v>18</v>
      </c>
      <c r="BQ30">
        <f t="shared" si="3"/>
        <v>16</v>
      </c>
      <c r="BR30">
        <f t="shared" si="4"/>
        <v>5</v>
      </c>
    </row>
    <row r="31" spans="1:70" ht="13.2" x14ac:dyDescent="0.25">
      <c r="A31" s="1">
        <v>2</v>
      </c>
      <c r="B31" s="1">
        <v>4</v>
      </c>
      <c r="C31" s="1" t="s">
        <v>89</v>
      </c>
      <c r="D31" s="1" t="s">
        <v>65</v>
      </c>
      <c r="E31" s="1" t="s">
        <v>86</v>
      </c>
      <c r="F31" s="1" t="s">
        <v>67</v>
      </c>
      <c r="G31" s="1">
        <v>3</v>
      </c>
      <c r="H31" s="1" t="s">
        <v>99</v>
      </c>
      <c r="I31" s="1">
        <v>3</v>
      </c>
      <c r="J31" s="1" t="s">
        <v>108</v>
      </c>
      <c r="K31" s="1">
        <v>2</v>
      </c>
      <c r="L31" s="1">
        <v>1</v>
      </c>
      <c r="M31" s="3">
        <v>1</v>
      </c>
      <c r="N31" s="1">
        <v>1</v>
      </c>
      <c r="O31" s="1">
        <v>4</v>
      </c>
      <c r="P31" s="1">
        <v>4</v>
      </c>
      <c r="Q31" s="1">
        <v>3</v>
      </c>
      <c r="R31" s="1">
        <v>4</v>
      </c>
      <c r="S31" s="1">
        <v>4</v>
      </c>
      <c r="T31" s="1">
        <v>1</v>
      </c>
      <c r="U31" s="1">
        <v>4</v>
      </c>
      <c r="V31" s="1">
        <v>4</v>
      </c>
      <c r="W31" s="1">
        <v>3</v>
      </c>
      <c r="X31" s="1">
        <v>3</v>
      </c>
      <c r="Y31" s="1">
        <v>4</v>
      </c>
      <c r="Z31" s="1">
        <v>1</v>
      </c>
      <c r="AA31" s="1">
        <v>1</v>
      </c>
      <c r="AB31" s="1">
        <v>4</v>
      </c>
      <c r="AC31" s="1">
        <v>1</v>
      </c>
      <c r="AD31" s="1">
        <v>1</v>
      </c>
      <c r="AE31" s="1">
        <v>1</v>
      </c>
      <c r="AF31" s="1">
        <v>1</v>
      </c>
      <c r="AG31" s="1" t="s">
        <v>79</v>
      </c>
      <c r="AH31" s="1" t="s">
        <v>79</v>
      </c>
      <c r="AI31" s="1" t="s">
        <v>96</v>
      </c>
      <c r="AJ31" s="1" t="s">
        <v>96</v>
      </c>
      <c r="AK31" s="1" t="s">
        <v>96</v>
      </c>
      <c r="AL31" s="1">
        <v>0</v>
      </c>
      <c r="AM31" s="1">
        <v>0</v>
      </c>
      <c r="AN31" s="1">
        <v>0</v>
      </c>
      <c r="AO31" s="1">
        <v>0</v>
      </c>
      <c r="AP31" s="1">
        <v>0</v>
      </c>
      <c r="AQ31" s="1">
        <v>0</v>
      </c>
      <c r="AR31" s="1">
        <v>0</v>
      </c>
      <c r="AS31" s="1">
        <v>0</v>
      </c>
      <c r="AT31" s="1">
        <v>0</v>
      </c>
      <c r="AU31" s="1">
        <v>0</v>
      </c>
      <c r="AV31" s="1">
        <v>0</v>
      </c>
      <c r="AW31" s="1">
        <v>0</v>
      </c>
      <c r="AX31" s="1">
        <v>0</v>
      </c>
      <c r="AY31" s="1">
        <v>0</v>
      </c>
      <c r="AZ31" s="1">
        <v>0</v>
      </c>
      <c r="BA31" s="1">
        <v>0</v>
      </c>
      <c r="BB31" s="1">
        <v>0</v>
      </c>
      <c r="BC31" s="1">
        <v>0</v>
      </c>
      <c r="BD31" s="1">
        <v>0</v>
      </c>
      <c r="BE31" s="1">
        <v>0</v>
      </c>
      <c r="BF31" s="1">
        <v>0</v>
      </c>
      <c r="BG31" s="1">
        <v>0</v>
      </c>
      <c r="BH31" s="1">
        <v>0</v>
      </c>
      <c r="BJ31" s="1">
        <v>0</v>
      </c>
      <c r="BK31" s="1"/>
      <c r="BM31" s="1">
        <v>0</v>
      </c>
      <c r="BN31">
        <f t="shared" si="0"/>
        <v>22</v>
      </c>
      <c r="BO31">
        <f t="shared" si="1"/>
        <v>21</v>
      </c>
      <c r="BP31">
        <f t="shared" si="2"/>
        <v>22</v>
      </c>
      <c r="BQ31">
        <f t="shared" si="3"/>
        <v>21</v>
      </c>
      <c r="BR31">
        <f t="shared" si="4"/>
        <v>0</v>
      </c>
    </row>
    <row r="32" spans="1:70" ht="13.2" x14ac:dyDescent="0.25">
      <c r="A32" s="1">
        <v>2</v>
      </c>
      <c r="B32" s="1">
        <v>4</v>
      </c>
      <c r="C32" s="1" t="s">
        <v>89</v>
      </c>
      <c r="D32" s="1" t="s">
        <v>65</v>
      </c>
      <c r="E32" s="1" t="s">
        <v>86</v>
      </c>
      <c r="F32" s="1" t="s">
        <v>110</v>
      </c>
      <c r="G32" s="1">
        <v>2</v>
      </c>
      <c r="H32" s="1" t="s">
        <v>68</v>
      </c>
      <c r="I32" s="1">
        <v>2</v>
      </c>
      <c r="J32" s="1" t="s">
        <v>135</v>
      </c>
      <c r="K32" s="1">
        <v>4</v>
      </c>
      <c r="L32" s="1">
        <v>1</v>
      </c>
      <c r="M32" s="3">
        <v>1</v>
      </c>
      <c r="N32" s="1">
        <v>1</v>
      </c>
      <c r="O32" s="1">
        <v>1</v>
      </c>
      <c r="P32" s="1">
        <v>1</v>
      </c>
      <c r="Q32" s="1">
        <v>4</v>
      </c>
      <c r="R32" s="1">
        <v>1</v>
      </c>
      <c r="S32" s="1">
        <v>5</v>
      </c>
      <c r="T32" s="1">
        <v>1</v>
      </c>
      <c r="U32" s="1">
        <v>4</v>
      </c>
      <c r="V32" s="1">
        <v>3</v>
      </c>
      <c r="W32" s="1">
        <v>3</v>
      </c>
      <c r="X32" s="1">
        <v>3</v>
      </c>
      <c r="Y32" s="1">
        <v>1</v>
      </c>
      <c r="Z32" s="1">
        <v>1</v>
      </c>
      <c r="AA32" s="1">
        <v>1</v>
      </c>
      <c r="AB32" s="1">
        <v>2</v>
      </c>
      <c r="AC32" s="1">
        <v>1</v>
      </c>
      <c r="AD32" s="1">
        <v>1</v>
      </c>
      <c r="AE32" s="1">
        <v>1</v>
      </c>
      <c r="AF32" s="1">
        <v>1</v>
      </c>
      <c r="AG32" s="1" t="s">
        <v>79</v>
      </c>
      <c r="AH32" s="1" t="s">
        <v>80</v>
      </c>
      <c r="AI32" s="1" t="s">
        <v>96</v>
      </c>
      <c r="AJ32" s="1" t="s">
        <v>96</v>
      </c>
      <c r="AK32" s="1" t="s">
        <v>96</v>
      </c>
      <c r="AL32" s="1">
        <v>0</v>
      </c>
      <c r="AM32" s="1">
        <v>0</v>
      </c>
      <c r="AN32" s="1">
        <v>0</v>
      </c>
      <c r="AO32" s="1">
        <v>0</v>
      </c>
      <c r="AP32" s="1">
        <v>0</v>
      </c>
      <c r="AQ32" s="1">
        <v>0</v>
      </c>
      <c r="AR32" s="1">
        <v>0</v>
      </c>
      <c r="AS32" s="1">
        <v>0</v>
      </c>
      <c r="AT32" s="1">
        <v>0</v>
      </c>
      <c r="AU32" s="1">
        <v>1</v>
      </c>
      <c r="AV32" s="1">
        <v>0</v>
      </c>
      <c r="AW32" s="1">
        <v>0</v>
      </c>
      <c r="AX32" s="1">
        <v>0</v>
      </c>
      <c r="AY32" s="1">
        <v>0</v>
      </c>
      <c r="AZ32" s="1">
        <v>0</v>
      </c>
      <c r="BA32" s="1">
        <v>0</v>
      </c>
      <c r="BB32" s="1">
        <v>0</v>
      </c>
      <c r="BC32" s="1">
        <v>0</v>
      </c>
      <c r="BD32" s="1">
        <v>0</v>
      </c>
      <c r="BE32" s="1">
        <v>0</v>
      </c>
      <c r="BF32" s="1">
        <v>0</v>
      </c>
      <c r="BG32" s="1">
        <v>0</v>
      </c>
      <c r="BH32" s="1">
        <v>0</v>
      </c>
      <c r="BJ32" s="1">
        <v>0</v>
      </c>
      <c r="BK32" s="1"/>
      <c r="BM32" s="1" t="s">
        <v>160</v>
      </c>
      <c r="BN32">
        <f t="shared" si="0"/>
        <v>16</v>
      </c>
      <c r="BO32">
        <f t="shared" si="1"/>
        <v>14</v>
      </c>
      <c r="BP32">
        <f t="shared" si="2"/>
        <v>16</v>
      </c>
      <c r="BQ32">
        <f t="shared" si="3"/>
        <v>14</v>
      </c>
      <c r="BR32">
        <f t="shared" si="4"/>
        <v>1</v>
      </c>
    </row>
    <row r="33" spans="1:70" ht="13.2" x14ac:dyDescent="0.25">
      <c r="A33" s="1">
        <v>2</v>
      </c>
      <c r="B33" s="1">
        <v>4</v>
      </c>
      <c r="C33" s="1" t="s">
        <v>89</v>
      </c>
      <c r="D33" s="1" t="s">
        <v>65</v>
      </c>
      <c r="E33" s="1" t="s">
        <v>86</v>
      </c>
      <c r="F33" s="1" t="s">
        <v>110</v>
      </c>
      <c r="G33" s="1">
        <v>2</v>
      </c>
      <c r="H33" s="1" t="s">
        <v>99</v>
      </c>
      <c r="I33" s="1">
        <v>4</v>
      </c>
      <c r="J33" s="1" t="s">
        <v>100</v>
      </c>
      <c r="K33" s="1">
        <v>3</v>
      </c>
      <c r="L33" s="1">
        <v>1</v>
      </c>
      <c r="M33" s="3">
        <v>1</v>
      </c>
      <c r="N33" s="1">
        <v>1</v>
      </c>
      <c r="O33" s="1">
        <v>5</v>
      </c>
      <c r="P33" s="1">
        <v>4</v>
      </c>
      <c r="Q33" s="1">
        <v>4</v>
      </c>
      <c r="R33" s="1">
        <v>2</v>
      </c>
      <c r="S33" s="1">
        <v>5</v>
      </c>
      <c r="T33" s="1">
        <v>1</v>
      </c>
      <c r="U33" s="1">
        <v>2</v>
      </c>
      <c r="V33" s="1">
        <v>2</v>
      </c>
      <c r="W33" s="1">
        <v>4</v>
      </c>
      <c r="X33" s="1">
        <v>3</v>
      </c>
      <c r="Y33" s="1">
        <v>1</v>
      </c>
      <c r="Z33" s="1">
        <v>1</v>
      </c>
      <c r="AA33" s="1">
        <v>1</v>
      </c>
      <c r="AB33" s="1">
        <v>1</v>
      </c>
      <c r="AC33" s="1">
        <v>1</v>
      </c>
      <c r="AD33" s="1">
        <v>1</v>
      </c>
      <c r="AE33" s="1">
        <v>1</v>
      </c>
      <c r="AF33" s="1">
        <v>1</v>
      </c>
      <c r="AG33" s="1" t="s">
        <v>80</v>
      </c>
      <c r="AH33" s="1" t="s">
        <v>80</v>
      </c>
      <c r="AI33" s="1" t="s">
        <v>96</v>
      </c>
      <c r="AJ33" s="1" t="s">
        <v>96</v>
      </c>
      <c r="AK33" s="1" t="s">
        <v>96</v>
      </c>
      <c r="AL33" s="1">
        <v>0</v>
      </c>
      <c r="AM33" s="1">
        <v>0</v>
      </c>
      <c r="AN33" s="1">
        <v>0</v>
      </c>
      <c r="AO33" s="1">
        <v>0</v>
      </c>
      <c r="AP33" s="1">
        <v>0</v>
      </c>
      <c r="AQ33" s="1">
        <v>0</v>
      </c>
      <c r="AR33" s="1">
        <v>0</v>
      </c>
      <c r="AS33" s="1">
        <v>0</v>
      </c>
      <c r="AT33" s="1">
        <v>0</v>
      </c>
      <c r="AU33" s="1">
        <v>0</v>
      </c>
      <c r="AV33" s="1">
        <v>0</v>
      </c>
      <c r="AW33" s="1">
        <v>0</v>
      </c>
      <c r="AX33" s="1">
        <v>0</v>
      </c>
      <c r="AY33" s="1">
        <v>0</v>
      </c>
      <c r="AZ33" s="1">
        <v>0</v>
      </c>
      <c r="BA33" s="1">
        <v>0</v>
      </c>
      <c r="BB33" s="1">
        <v>0</v>
      </c>
      <c r="BC33" s="1">
        <v>0</v>
      </c>
      <c r="BD33" s="1">
        <v>0</v>
      </c>
      <c r="BE33" s="1">
        <v>0</v>
      </c>
      <c r="BF33" s="1">
        <v>0</v>
      </c>
      <c r="BG33" s="1">
        <v>0</v>
      </c>
      <c r="BH33" s="1">
        <v>0</v>
      </c>
      <c r="BJ33" s="1">
        <v>0</v>
      </c>
      <c r="BK33" s="1"/>
      <c r="BM33" s="1">
        <v>0</v>
      </c>
      <c r="BN33">
        <f t="shared" si="0"/>
        <v>15</v>
      </c>
      <c r="BO33">
        <f t="shared" si="1"/>
        <v>22</v>
      </c>
      <c r="BP33">
        <f t="shared" si="2"/>
        <v>15</v>
      </c>
      <c r="BQ33">
        <f t="shared" si="3"/>
        <v>22</v>
      </c>
      <c r="BR33">
        <f t="shared" si="4"/>
        <v>0</v>
      </c>
    </row>
    <row r="34" spans="1:70" ht="13.2" x14ac:dyDescent="0.25">
      <c r="A34" s="1">
        <v>2</v>
      </c>
      <c r="B34" s="1">
        <v>5</v>
      </c>
      <c r="C34" s="1" t="s">
        <v>69</v>
      </c>
      <c r="D34" s="1" t="s">
        <v>65</v>
      </c>
      <c r="E34" s="1" t="s">
        <v>86</v>
      </c>
      <c r="F34" s="1" t="s">
        <v>110</v>
      </c>
      <c r="G34" s="1">
        <v>4</v>
      </c>
      <c r="H34" s="1" t="s">
        <v>68</v>
      </c>
      <c r="I34" s="1">
        <v>5</v>
      </c>
      <c r="J34" s="1" t="s">
        <v>136</v>
      </c>
      <c r="K34" s="1">
        <v>4</v>
      </c>
      <c r="L34" s="1">
        <v>1</v>
      </c>
      <c r="M34" s="3">
        <v>1</v>
      </c>
      <c r="N34" s="1">
        <v>1</v>
      </c>
      <c r="O34" s="1">
        <v>5</v>
      </c>
      <c r="P34" s="1">
        <v>1</v>
      </c>
      <c r="Q34" s="1">
        <v>5</v>
      </c>
      <c r="R34" s="1">
        <v>4</v>
      </c>
      <c r="S34" s="1">
        <v>5</v>
      </c>
      <c r="T34" s="1">
        <v>1</v>
      </c>
      <c r="U34" s="1">
        <v>4</v>
      </c>
      <c r="V34" s="1">
        <v>3</v>
      </c>
      <c r="W34" s="1">
        <v>5</v>
      </c>
      <c r="X34" s="1">
        <v>2</v>
      </c>
      <c r="Y34" s="1">
        <v>1</v>
      </c>
      <c r="Z34" s="1">
        <v>1</v>
      </c>
      <c r="AA34" s="1">
        <v>1</v>
      </c>
      <c r="AB34" s="1">
        <v>2</v>
      </c>
      <c r="AC34" s="1">
        <v>1</v>
      </c>
      <c r="AD34" s="1">
        <v>1</v>
      </c>
      <c r="AE34" s="1">
        <v>1</v>
      </c>
      <c r="AF34" s="1">
        <v>1</v>
      </c>
      <c r="AG34" s="1" t="s">
        <v>120</v>
      </c>
      <c r="AH34" s="1" t="s">
        <v>79</v>
      </c>
      <c r="AI34" s="1" t="s">
        <v>96</v>
      </c>
      <c r="AJ34" s="1" t="s">
        <v>96</v>
      </c>
      <c r="AK34" s="1" t="s">
        <v>96</v>
      </c>
      <c r="AL34" s="1">
        <v>0</v>
      </c>
      <c r="AM34" s="1">
        <v>0</v>
      </c>
      <c r="AN34" s="1">
        <v>0</v>
      </c>
      <c r="AO34" s="1">
        <v>0</v>
      </c>
      <c r="AP34" s="1">
        <v>0</v>
      </c>
      <c r="AQ34" s="1">
        <v>0</v>
      </c>
      <c r="AR34" s="1">
        <v>0</v>
      </c>
      <c r="AS34" s="1">
        <v>0</v>
      </c>
      <c r="AT34" s="1">
        <v>0</v>
      </c>
      <c r="AU34" s="1">
        <v>0</v>
      </c>
      <c r="AV34" s="1">
        <v>0</v>
      </c>
      <c r="AW34" s="1">
        <v>0</v>
      </c>
      <c r="AX34" s="1">
        <v>0</v>
      </c>
      <c r="AY34" s="1">
        <v>0</v>
      </c>
      <c r="AZ34" s="1">
        <v>0</v>
      </c>
      <c r="BA34" s="1">
        <v>0</v>
      </c>
      <c r="BB34" s="1">
        <v>0</v>
      </c>
      <c r="BC34" s="1">
        <v>0</v>
      </c>
      <c r="BD34" s="1">
        <v>0</v>
      </c>
      <c r="BE34" s="1">
        <v>0</v>
      </c>
      <c r="BF34" s="1">
        <v>0</v>
      </c>
      <c r="BG34" s="1">
        <v>0</v>
      </c>
      <c r="BH34" s="1">
        <v>0</v>
      </c>
      <c r="BJ34" s="1">
        <v>0</v>
      </c>
      <c r="BM34" s="1" t="s">
        <v>162</v>
      </c>
      <c r="BN34">
        <f t="shared" si="0"/>
        <v>17</v>
      </c>
      <c r="BO34">
        <f t="shared" si="1"/>
        <v>22</v>
      </c>
      <c r="BP34">
        <f t="shared" si="2"/>
        <v>17</v>
      </c>
      <c r="BQ34">
        <f t="shared" si="3"/>
        <v>22</v>
      </c>
      <c r="BR34">
        <f t="shared" si="4"/>
        <v>0</v>
      </c>
    </row>
    <row r="35" spans="1:70" ht="13.2" x14ac:dyDescent="0.25">
      <c r="A35" s="1">
        <v>2</v>
      </c>
      <c r="B35" s="1">
        <v>5</v>
      </c>
      <c r="C35" s="1" t="s">
        <v>69</v>
      </c>
      <c r="D35" s="1" t="s">
        <v>65</v>
      </c>
      <c r="E35" s="1" t="s">
        <v>66</v>
      </c>
      <c r="F35" s="1" t="s">
        <v>67</v>
      </c>
      <c r="G35" s="1">
        <v>4</v>
      </c>
      <c r="H35" s="1" t="s">
        <v>99</v>
      </c>
      <c r="I35" s="1">
        <v>3</v>
      </c>
      <c r="J35" s="1" t="s">
        <v>138</v>
      </c>
      <c r="K35" s="1">
        <v>3</v>
      </c>
      <c r="L35" s="1">
        <v>3</v>
      </c>
      <c r="M35" s="3">
        <v>2</v>
      </c>
      <c r="N35" s="1">
        <v>1</v>
      </c>
      <c r="O35" s="1">
        <v>1</v>
      </c>
      <c r="P35" s="1">
        <v>1</v>
      </c>
      <c r="Q35" s="1">
        <v>3</v>
      </c>
      <c r="R35" s="1">
        <v>1</v>
      </c>
      <c r="S35" s="1">
        <v>5</v>
      </c>
      <c r="T35" s="1">
        <v>1</v>
      </c>
      <c r="U35" s="1">
        <v>1</v>
      </c>
      <c r="V35" s="1">
        <v>4</v>
      </c>
      <c r="W35" s="1">
        <v>3</v>
      </c>
      <c r="X35" s="1">
        <v>2</v>
      </c>
      <c r="Y35" s="1">
        <v>4</v>
      </c>
      <c r="Z35" s="1">
        <v>1</v>
      </c>
      <c r="AA35" s="1">
        <v>1</v>
      </c>
      <c r="AB35" s="1">
        <v>5</v>
      </c>
      <c r="AC35" s="1">
        <v>3</v>
      </c>
      <c r="AD35" s="1">
        <v>1</v>
      </c>
      <c r="AE35" s="1">
        <v>1</v>
      </c>
      <c r="AF35" s="1">
        <v>1</v>
      </c>
      <c r="AG35" s="1" t="s">
        <v>79</v>
      </c>
      <c r="AH35" s="1" t="s">
        <v>80</v>
      </c>
      <c r="AI35" s="1" t="s">
        <v>82</v>
      </c>
      <c r="AJ35" s="1" t="s">
        <v>82</v>
      </c>
      <c r="AK35" s="1" t="s">
        <v>96</v>
      </c>
      <c r="AL35" s="1">
        <v>0</v>
      </c>
      <c r="AM35" s="1">
        <v>0</v>
      </c>
      <c r="AN35" s="1">
        <v>0</v>
      </c>
      <c r="AO35" s="1">
        <v>1</v>
      </c>
      <c r="AP35" s="1">
        <v>0</v>
      </c>
      <c r="AQ35" s="1">
        <v>0</v>
      </c>
      <c r="AR35" s="1">
        <v>0</v>
      </c>
      <c r="AS35" s="1">
        <v>1</v>
      </c>
      <c r="AT35" s="1">
        <v>1</v>
      </c>
      <c r="AU35" s="1">
        <v>1</v>
      </c>
      <c r="AV35" s="1">
        <v>0</v>
      </c>
      <c r="AW35" s="1">
        <v>1</v>
      </c>
      <c r="AX35" s="1">
        <v>0</v>
      </c>
      <c r="AY35" s="1">
        <v>0</v>
      </c>
      <c r="AZ35" s="1">
        <v>0</v>
      </c>
      <c r="BA35" s="1">
        <v>1</v>
      </c>
      <c r="BB35" s="1">
        <v>0</v>
      </c>
      <c r="BC35" s="1">
        <v>0</v>
      </c>
      <c r="BD35" s="1">
        <v>0</v>
      </c>
      <c r="BE35" s="1">
        <v>1</v>
      </c>
      <c r="BF35" s="1">
        <v>0</v>
      </c>
      <c r="BG35" s="1">
        <v>1</v>
      </c>
      <c r="BH35" s="1">
        <v>0</v>
      </c>
      <c r="BJ35" s="1">
        <v>0</v>
      </c>
      <c r="BK35" s="1"/>
      <c r="BM35" s="1" t="s">
        <v>85</v>
      </c>
      <c r="BN35">
        <f t="shared" si="0"/>
        <v>24</v>
      </c>
      <c r="BO35">
        <f t="shared" si="1"/>
        <v>13</v>
      </c>
      <c r="BP35">
        <f t="shared" si="2"/>
        <v>24</v>
      </c>
      <c r="BQ35">
        <f t="shared" si="3"/>
        <v>13</v>
      </c>
      <c r="BR35">
        <f t="shared" si="4"/>
        <v>8</v>
      </c>
    </row>
    <row r="36" spans="1:70" ht="13.2" x14ac:dyDescent="0.25">
      <c r="A36" s="1">
        <v>2</v>
      </c>
      <c r="B36" s="1">
        <v>4</v>
      </c>
      <c r="C36" s="1" t="s">
        <v>89</v>
      </c>
      <c r="D36" s="1" t="s">
        <v>65</v>
      </c>
      <c r="E36" s="1" t="s">
        <v>86</v>
      </c>
      <c r="F36" s="1" t="s">
        <v>67</v>
      </c>
      <c r="G36" s="1">
        <v>2</v>
      </c>
      <c r="H36" s="1" t="s">
        <v>99</v>
      </c>
      <c r="I36" s="1">
        <v>2</v>
      </c>
      <c r="J36" s="1" t="s">
        <v>139</v>
      </c>
      <c r="K36" s="1">
        <v>3</v>
      </c>
      <c r="L36" s="1">
        <v>2</v>
      </c>
      <c r="M36" s="3">
        <v>2</v>
      </c>
      <c r="N36" s="1">
        <v>1</v>
      </c>
      <c r="O36" s="1">
        <v>4</v>
      </c>
      <c r="P36" s="1">
        <v>1</v>
      </c>
      <c r="Q36" s="1">
        <v>4</v>
      </c>
      <c r="R36" s="1">
        <v>4</v>
      </c>
      <c r="S36" s="1">
        <v>2</v>
      </c>
      <c r="T36" s="1">
        <v>1</v>
      </c>
      <c r="U36" s="1">
        <v>3</v>
      </c>
      <c r="V36" s="1">
        <v>3</v>
      </c>
      <c r="W36" s="1">
        <v>3</v>
      </c>
      <c r="X36" s="1">
        <v>5</v>
      </c>
      <c r="Y36" s="1">
        <v>3</v>
      </c>
      <c r="Z36" s="1">
        <v>3</v>
      </c>
      <c r="AA36" s="1">
        <v>2</v>
      </c>
      <c r="AB36" s="1">
        <v>4</v>
      </c>
      <c r="AC36" s="1">
        <v>2</v>
      </c>
      <c r="AD36" s="1">
        <v>1</v>
      </c>
      <c r="AE36" s="1">
        <v>1</v>
      </c>
      <c r="AF36" s="1">
        <v>1</v>
      </c>
      <c r="AG36" s="1" t="s">
        <v>79</v>
      </c>
      <c r="AH36" s="1" t="s">
        <v>120</v>
      </c>
      <c r="AI36" s="1" t="s">
        <v>81</v>
      </c>
      <c r="AJ36" s="1" t="s">
        <v>81</v>
      </c>
      <c r="AK36" s="1" t="s">
        <v>96</v>
      </c>
      <c r="AL36" s="1">
        <v>0</v>
      </c>
      <c r="AM36" s="1">
        <v>0</v>
      </c>
      <c r="AN36" s="1">
        <v>0</v>
      </c>
      <c r="AO36" s="1">
        <v>0</v>
      </c>
      <c r="AP36" s="1">
        <v>0</v>
      </c>
      <c r="AQ36" s="1">
        <v>0</v>
      </c>
      <c r="AR36" s="1">
        <v>0</v>
      </c>
      <c r="AS36" s="1">
        <v>0</v>
      </c>
      <c r="AT36" s="1">
        <v>0</v>
      </c>
      <c r="AU36" s="1">
        <v>0</v>
      </c>
      <c r="AV36" s="1">
        <v>0</v>
      </c>
      <c r="AW36" s="1">
        <v>0</v>
      </c>
      <c r="AX36" s="1">
        <v>0</v>
      </c>
      <c r="AY36" s="1">
        <v>0</v>
      </c>
      <c r="AZ36" s="1">
        <v>0</v>
      </c>
      <c r="BA36" s="1">
        <v>0</v>
      </c>
      <c r="BB36" s="1">
        <v>0</v>
      </c>
      <c r="BC36" s="1">
        <v>0</v>
      </c>
      <c r="BD36" s="1">
        <v>0</v>
      </c>
      <c r="BE36" s="1">
        <v>0</v>
      </c>
      <c r="BF36" s="1">
        <v>0</v>
      </c>
      <c r="BG36" s="1">
        <v>0</v>
      </c>
      <c r="BH36" s="1">
        <v>0</v>
      </c>
      <c r="BJ36" s="1">
        <v>0</v>
      </c>
      <c r="BK36" s="1"/>
      <c r="BM36" s="1">
        <v>0</v>
      </c>
      <c r="BN36">
        <f t="shared" si="0"/>
        <v>26</v>
      </c>
      <c r="BO36">
        <f t="shared" si="1"/>
        <v>17</v>
      </c>
      <c r="BP36">
        <f t="shared" si="2"/>
        <v>26</v>
      </c>
      <c r="BQ36">
        <f t="shared" si="3"/>
        <v>17</v>
      </c>
      <c r="BR36">
        <f t="shared" si="4"/>
        <v>0</v>
      </c>
    </row>
    <row r="37" spans="1:70" ht="13.2" x14ac:dyDescent="0.25">
      <c r="A37" s="1">
        <v>2</v>
      </c>
      <c r="B37" s="1">
        <v>4</v>
      </c>
      <c r="C37" s="1" t="s">
        <v>89</v>
      </c>
      <c r="D37" s="1" t="s">
        <v>65</v>
      </c>
      <c r="E37" s="1" t="s">
        <v>86</v>
      </c>
      <c r="F37" s="1" t="s">
        <v>67</v>
      </c>
      <c r="G37" s="1">
        <v>1</v>
      </c>
      <c r="H37" s="1" t="s">
        <v>99</v>
      </c>
      <c r="I37" s="1">
        <v>4</v>
      </c>
      <c r="J37" s="1" t="s">
        <v>122</v>
      </c>
      <c r="K37" s="1">
        <v>3</v>
      </c>
      <c r="L37" s="1">
        <v>2</v>
      </c>
      <c r="M37" s="3">
        <v>3</v>
      </c>
      <c r="N37" s="1">
        <v>1</v>
      </c>
      <c r="O37" s="1">
        <v>1</v>
      </c>
      <c r="P37" s="1">
        <v>1</v>
      </c>
      <c r="Q37" s="1">
        <v>3</v>
      </c>
      <c r="R37" s="1">
        <v>1</v>
      </c>
      <c r="S37" s="1">
        <v>3</v>
      </c>
      <c r="T37" s="1">
        <v>1</v>
      </c>
      <c r="U37" s="1">
        <v>1</v>
      </c>
      <c r="V37" s="1">
        <v>4</v>
      </c>
      <c r="W37" s="1">
        <v>3</v>
      </c>
      <c r="X37" s="1">
        <v>3</v>
      </c>
      <c r="Y37" s="1">
        <v>1</v>
      </c>
      <c r="Z37" s="1">
        <v>2</v>
      </c>
      <c r="AA37" s="1">
        <v>1</v>
      </c>
      <c r="AB37" s="1">
        <v>1</v>
      </c>
      <c r="AC37" s="1">
        <v>1</v>
      </c>
      <c r="AD37" s="1">
        <v>1</v>
      </c>
      <c r="AE37" s="1">
        <v>1</v>
      </c>
      <c r="AF37" s="1">
        <v>1</v>
      </c>
      <c r="AG37" s="1" t="s">
        <v>80</v>
      </c>
      <c r="AH37" s="1" t="s">
        <v>95</v>
      </c>
      <c r="AI37" s="1" t="s">
        <v>82</v>
      </c>
      <c r="AJ37" s="1" t="s">
        <v>82</v>
      </c>
      <c r="AK37" s="1" t="s">
        <v>82</v>
      </c>
      <c r="AL37" s="1">
        <v>0</v>
      </c>
      <c r="AM37" s="1">
        <v>0</v>
      </c>
      <c r="AN37" s="1">
        <v>0</v>
      </c>
      <c r="AO37" s="1">
        <v>0</v>
      </c>
      <c r="AP37" s="1">
        <v>0</v>
      </c>
      <c r="AQ37" s="1">
        <v>0</v>
      </c>
      <c r="AR37" s="1">
        <v>0</v>
      </c>
      <c r="AS37" s="1">
        <v>0</v>
      </c>
      <c r="AT37" s="1">
        <v>0</v>
      </c>
      <c r="AU37" s="1">
        <v>1</v>
      </c>
      <c r="AV37" s="1">
        <v>0</v>
      </c>
      <c r="AW37" s="1">
        <v>0</v>
      </c>
      <c r="AX37" s="1">
        <v>0</v>
      </c>
      <c r="AY37" s="1">
        <v>0</v>
      </c>
      <c r="AZ37" s="1">
        <v>0</v>
      </c>
      <c r="BA37" s="1">
        <v>0</v>
      </c>
      <c r="BC37" s="1">
        <v>0</v>
      </c>
      <c r="BD37" s="1">
        <v>0</v>
      </c>
      <c r="BE37" s="1">
        <v>0</v>
      </c>
      <c r="BF37" s="1">
        <v>0</v>
      </c>
      <c r="BG37" s="1">
        <v>1</v>
      </c>
      <c r="BH37" s="1">
        <v>0</v>
      </c>
      <c r="BJ37" s="1">
        <v>0</v>
      </c>
      <c r="BK37" s="1"/>
      <c r="BM37" s="1">
        <v>0</v>
      </c>
      <c r="BN37">
        <f t="shared" si="0"/>
        <v>17</v>
      </c>
      <c r="BO37">
        <f t="shared" si="1"/>
        <v>11</v>
      </c>
      <c r="BP37">
        <f t="shared" si="2"/>
        <v>17</v>
      </c>
      <c r="BQ37">
        <f t="shared" si="3"/>
        <v>11</v>
      </c>
      <c r="BR37">
        <f t="shared" si="4"/>
        <v>2</v>
      </c>
    </row>
    <row r="38" spans="1:70" ht="13.2" x14ac:dyDescent="0.25"/>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3F21D-AA41-4077-8F31-282C512545F9}">
  <dimension ref="B1:B64"/>
  <sheetViews>
    <sheetView topLeftCell="B29" workbookViewId="0">
      <selection activeCell="B37" sqref="B37"/>
    </sheetView>
  </sheetViews>
  <sheetFormatPr defaultRowHeight="13.2" x14ac:dyDescent="0.25"/>
  <cols>
    <col min="2" max="2" width="230" bestFit="1" customWidth="1"/>
  </cols>
  <sheetData>
    <row r="1" spans="2:2" x14ac:dyDescent="0.25">
      <c r="B1" s="1" t="s">
        <v>0</v>
      </c>
    </row>
    <row r="2" spans="2:2" x14ac:dyDescent="0.25">
      <c r="B2" s="1" t="s">
        <v>1</v>
      </c>
    </row>
    <row r="3" spans="2:2" x14ac:dyDescent="0.25">
      <c r="B3" s="1" t="s">
        <v>2</v>
      </c>
    </row>
    <row r="4" spans="2:2" x14ac:dyDescent="0.25">
      <c r="B4" s="1" t="s">
        <v>3</v>
      </c>
    </row>
    <row r="5" spans="2:2" x14ac:dyDescent="0.25">
      <c r="B5" s="1" t="s">
        <v>4</v>
      </c>
    </row>
    <row r="6" spans="2:2" x14ac:dyDescent="0.25">
      <c r="B6" s="1" t="s">
        <v>5</v>
      </c>
    </row>
    <row r="7" spans="2:2" x14ac:dyDescent="0.25">
      <c r="B7" s="4" t="s">
        <v>6</v>
      </c>
    </row>
    <row r="8" spans="2:2" x14ac:dyDescent="0.25">
      <c r="B8" s="1" t="s">
        <v>7</v>
      </c>
    </row>
    <row r="9" spans="2:2" x14ac:dyDescent="0.25">
      <c r="B9" s="1" t="s">
        <v>8</v>
      </c>
    </row>
    <row r="10" spans="2:2" x14ac:dyDescent="0.25">
      <c r="B10" s="1" t="s">
        <v>9</v>
      </c>
    </row>
    <row r="11" spans="2:2" x14ac:dyDescent="0.25">
      <c r="B11" s="1" t="s">
        <v>10</v>
      </c>
    </row>
    <row r="12" spans="2:2" x14ac:dyDescent="0.25">
      <c r="B12" s="1" t="s">
        <v>11</v>
      </c>
    </row>
    <row r="13" spans="2:2" x14ac:dyDescent="0.25">
      <c r="B13" s="1" t="s">
        <v>12</v>
      </c>
    </row>
    <row r="14" spans="2:2" x14ac:dyDescent="0.25">
      <c r="B14" s="1" t="s">
        <v>13</v>
      </c>
    </row>
    <row r="15" spans="2:2" x14ac:dyDescent="0.25">
      <c r="B15" s="1" t="s">
        <v>14</v>
      </c>
    </row>
    <row r="16" spans="2:2" x14ac:dyDescent="0.25">
      <c r="B16" s="1" t="s">
        <v>15</v>
      </c>
    </row>
    <row r="17" spans="2:2" x14ac:dyDescent="0.25">
      <c r="B17" s="1" t="s">
        <v>16</v>
      </c>
    </row>
    <row r="18" spans="2:2" x14ac:dyDescent="0.25">
      <c r="B18" s="1" t="s">
        <v>17</v>
      </c>
    </row>
    <row r="19" spans="2:2" x14ac:dyDescent="0.25">
      <c r="B19" s="1" t="s">
        <v>18</v>
      </c>
    </row>
    <row r="20" spans="2:2" x14ac:dyDescent="0.25">
      <c r="B20" s="1" t="s">
        <v>19</v>
      </c>
    </row>
    <row r="21" spans="2:2" x14ac:dyDescent="0.25">
      <c r="B21" s="1" t="s">
        <v>20</v>
      </c>
    </row>
    <row r="22" spans="2:2" x14ac:dyDescent="0.25">
      <c r="B22" s="1" t="s">
        <v>21</v>
      </c>
    </row>
    <row r="23" spans="2:2" x14ac:dyDescent="0.25">
      <c r="B23" s="1" t="s">
        <v>22</v>
      </c>
    </row>
    <row r="24" spans="2:2" x14ac:dyDescent="0.25">
      <c r="B24" s="1" t="s">
        <v>23</v>
      </c>
    </row>
    <row r="25" spans="2:2" x14ac:dyDescent="0.25">
      <c r="B25" s="1" t="s">
        <v>24</v>
      </c>
    </row>
    <row r="26" spans="2:2" x14ac:dyDescent="0.25">
      <c r="B26" s="1" t="s">
        <v>25</v>
      </c>
    </row>
    <row r="27" spans="2:2" x14ac:dyDescent="0.25">
      <c r="B27" s="1" t="s">
        <v>26</v>
      </c>
    </row>
    <row r="28" spans="2:2" x14ac:dyDescent="0.25">
      <c r="B28" s="1" t="s">
        <v>27</v>
      </c>
    </row>
    <row r="29" spans="2:2" x14ac:dyDescent="0.25">
      <c r="B29" s="1" t="s">
        <v>28</v>
      </c>
    </row>
    <row r="30" spans="2:2" x14ac:dyDescent="0.25">
      <c r="B30" s="1" t="s">
        <v>29</v>
      </c>
    </row>
    <row r="31" spans="2:2" x14ac:dyDescent="0.25">
      <c r="B31" s="1" t="s">
        <v>30</v>
      </c>
    </row>
    <row r="32" spans="2:2" x14ac:dyDescent="0.25">
      <c r="B32" s="1" t="s">
        <v>31</v>
      </c>
    </row>
    <row r="33" spans="2:2" x14ac:dyDescent="0.25">
      <c r="B33" s="1" t="s">
        <v>32</v>
      </c>
    </row>
    <row r="34" spans="2:2" x14ac:dyDescent="0.25">
      <c r="B34" s="1" t="s">
        <v>33</v>
      </c>
    </row>
    <row r="35" spans="2:2" x14ac:dyDescent="0.25">
      <c r="B35" s="1" t="s">
        <v>34</v>
      </c>
    </row>
    <row r="36" spans="2:2" x14ac:dyDescent="0.25">
      <c r="B36" s="1" t="s">
        <v>35</v>
      </c>
    </row>
    <row r="37" spans="2:2" x14ac:dyDescent="0.25">
      <c r="B37" s="1" t="s">
        <v>36</v>
      </c>
    </row>
    <row r="38" spans="2:2" x14ac:dyDescent="0.25">
      <c r="B38" s="1" t="s">
        <v>37</v>
      </c>
    </row>
    <row r="39" spans="2:2" x14ac:dyDescent="0.25">
      <c r="B39" s="1" t="s">
        <v>38</v>
      </c>
    </row>
    <row r="40" spans="2:2" x14ac:dyDescent="0.25">
      <c r="B40" s="1" t="s">
        <v>39</v>
      </c>
    </row>
    <row r="41" spans="2:2" x14ac:dyDescent="0.25">
      <c r="B41" s="1" t="s">
        <v>40</v>
      </c>
    </row>
    <row r="42" spans="2:2" x14ac:dyDescent="0.25">
      <c r="B42" s="1" t="s">
        <v>41</v>
      </c>
    </row>
    <row r="43" spans="2:2" x14ac:dyDescent="0.25">
      <c r="B43" s="1" t="s">
        <v>42</v>
      </c>
    </row>
    <row r="44" spans="2:2" x14ac:dyDescent="0.25">
      <c r="B44" s="1" t="s">
        <v>43</v>
      </c>
    </row>
    <row r="45" spans="2:2" x14ac:dyDescent="0.25">
      <c r="B45" s="1" t="s">
        <v>44</v>
      </c>
    </row>
    <row r="46" spans="2:2" x14ac:dyDescent="0.25">
      <c r="B46" s="1" t="s">
        <v>45</v>
      </c>
    </row>
    <row r="47" spans="2:2" x14ac:dyDescent="0.25">
      <c r="B47" s="1" t="s">
        <v>46</v>
      </c>
    </row>
    <row r="48" spans="2:2" x14ac:dyDescent="0.25">
      <c r="B48" s="1" t="s">
        <v>47</v>
      </c>
    </row>
    <row r="49" spans="2:2" x14ac:dyDescent="0.25">
      <c r="B49" s="1" t="s">
        <v>48</v>
      </c>
    </row>
    <row r="50" spans="2:2" x14ac:dyDescent="0.25">
      <c r="B50" s="1" t="s">
        <v>49</v>
      </c>
    </row>
    <row r="51" spans="2:2" x14ac:dyDescent="0.25">
      <c r="B51" s="1" t="s">
        <v>50</v>
      </c>
    </row>
    <row r="52" spans="2:2" x14ac:dyDescent="0.25">
      <c r="B52" s="1" t="s">
        <v>51</v>
      </c>
    </row>
    <row r="53" spans="2:2" x14ac:dyDescent="0.25">
      <c r="B53" s="1" t="s">
        <v>52</v>
      </c>
    </row>
    <row r="54" spans="2:2" x14ac:dyDescent="0.25">
      <c r="B54" s="1" t="s">
        <v>53</v>
      </c>
    </row>
    <row r="55" spans="2:2" x14ac:dyDescent="0.25">
      <c r="B55" s="1" t="s">
        <v>54</v>
      </c>
    </row>
    <row r="56" spans="2:2" x14ac:dyDescent="0.25">
      <c r="B56" s="1" t="s">
        <v>55</v>
      </c>
    </row>
    <row r="57" spans="2:2" x14ac:dyDescent="0.25">
      <c r="B57" s="1" t="s">
        <v>56</v>
      </c>
    </row>
    <row r="58" spans="2:2" x14ac:dyDescent="0.25">
      <c r="B58" s="1" t="s">
        <v>57</v>
      </c>
    </row>
    <row r="59" spans="2:2" x14ac:dyDescent="0.25">
      <c r="B59" s="1" t="s">
        <v>58</v>
      </c>
    </row>
    <row r="60" spans="2:2" x14ac:dyDescent="0.25">
      <c r="B60" s="1" t="s">
        <v>59</v>
      </c>
    </row>
    <row r="61" spans="2:2" x14ac:dyDescent="0.25">
      <c r="B61" s="1" t="s">
        <v>60</v>
      </c>
    </row>
    <row r="62" spans="2:2" x14ac:dyDescent="0.25">
      <c r="B62" s="1" t="s">
        <v>61</v>
      </c>
    </row>
    <row r="63" spans="2:2" x14ac:dyDescent="0.25">
      <c r="B63" s="1" t="s">
        <v>62</v>
      </c>
    </row>
    <row r="64" spans="2:2" x14ac:dyDescent="0.25">
      <c r="B64" s="1" t="s">
        <v>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E087C-844B-4F94-A7EF-3C75E6C1F2CC}">
  <dimension ref="A1:C39"/>
  <sheetViews>
    <sheetView zoomScale="76" zoomScaleNormal="76" workbookViewId="0">
      <selection activeCell="C40" sqref="C40"/>
    </sheetView>
  </sheetViews>
  <sheetFormatPr defaultRowHeight="13.2" x14ac:dyDescent="0.25"/>
  <cols>
    <col min="1" max="1" width="50.109375" bestFit="1" customWidth="1"/>
    <col min="2" max="2" width="18.77734375" bestFit="1" customWidth="1"/>
    <col min="3" max="3" width="12.88671875" bestFit="1" customWidth="1"/>
    <col min="6" max="6" width="22.44140625" customWidth="1"/>
  </cols>
  <sheetData>
    <row r="1" spans="1:3" x14ac:dyDescent="0.25">
      <c r="A1" t="s">
        <v>140</v>
      </c>
      <c r="B1" t="s">
        <v>141</v>
      </c>
      <c r="C1" t="s">
        <v>142</v>
      </c>
    </row>
    <row r="2" spans="1:3" x14ac:dyDescent="0.25">
      <c r="A2" s="1" t="s">
        <v>1</v>
      </c>
      <c r="B2" t="s">
        <v>143</v>
      </c>
      <c r="C2">
        <v>1</v>
      </c>
    </row>
    <row r="3" spans="1:3" x14ac:dyDescent="0.25">
      <c r="B3" t="s">
        <v>121</v>
      </c>
      <c r="C3">
        <v>2</v>
      </c>
    </row>
    <row r="5" spans="1:3" x14ac:dyDescent="0.25">
      <c r="A5" s="1" t="s">
        <v>2</v>
      </c>
      <c r="B5" t="s">
        <v>64</v>
      </c>
      <c r="C5">
        <v>6</v>
      </c>
    </row>
    <row r="6" spans="1:3" x14ac:dyDescent="0.25">
      <c r="B6" t="s">
        <v>69</v>
      </c>
      <c r="C6">
        <v>5</v>
      </c>
    </row>
    <row r="7" spans="1:3" x14ac:dyDescent="0.25">
      <c r="B7" t="s">
        <v>89</v>
      </c>
      <c r="C7">
        <v>4</v>
      </c>
    </row>
    <row r="8" spans="1:3" x14ac:dyDescent="0.25">
      <c r="B8" t="s">
        <v>107</v>
      </c>
      <c r="C8">
        <v>3</v>
      </c>
    </row>
    <row r="9" spans="1:3" x14ac:dyDescent="0.25">
      <c r="B9" t="s">
        <v>113</v>
      </c>
      <c r="C9">
        <v>2</v>
      </c>
    </row>
    <row r="10" spans="1:3" x14ac:dyDescent="0.25">
      <c r="B10" t="s">
        <v>118</v>
      </c>
      <c r="C10">
        <v>1</v>
      </c>
    </row>
    <row r="12" spans="1:3" x14ac:dyDescent="0.25">
      <c r="A12" t="s">
        <v>144</v>
      </c>
      <c r="B12" t="s">
        <v>75</v>
      </c>
      <c r="C12">
        <v>1</v>
      </c>
    </row>
    <row r="13" spans="1:3" x14ac:dyDescent="0.25">
      <c r="B13" t="s">
        <v>93</v>
      </c>
      <c r="C13">
        <v>5</v>
      </c>
    </row>
    <row r="14" spans="1:3" x14ac:dyDescent="0.25">
      <c r="B14" t="s">
        <v>77</v>
      </c>
      <c r="C14">
        <v>2</v>
      </c>
    </row>
    <row r="15" spans="1:3" x14ac:dyDescent="0.25">
      <c r="B15" t="s">
        <v>94</v>
      </c>
      <c r="C15">
        <v>4</v>
      </c>
    </row>
    <row r="16" spans="1:3" x14ac:dyDescent="0.25">
      <c r="B16" t="s">
        <v>76</v>
      </c>
      <c r="C16">
        <v>3</v>
      </c>
    </row>
    <row r="18" spans="1:3" x14ac:dyDescent="0.25">
      <c r="A18" t="s">
        <v>145</v>
      </c>
      <c r="B18" t="s">
        <v>72</v>
      </c>
      <c r="C18">
        <v>5</v>
      </c>
    </row>
    <row r="19" spans="1:3" x14ac:dyDescent="0.25">
      <c r="B19" t="s">
        <v>92</v>
      </c>
      <c r="C19">
        <v>2</v>
      </c>
    </row>
    <row r="20" spans="1:3" x14ac:dyDescent="0.25">
      <c r="B20" t="s">
        <v>73</v>
      </c>
      <c r="C20">
        <v>4</v>
      </c>
    </row>
    <row r="21" spans="1:3" x14ac:dyDescent="0.25">
      <c r="B21" t="s">
        <v>101</v>
      </c>
      <c r="C21">
        <v>3</v>
      </c>
    </row>
    <row r="22" spans="1:3" x14ac:dyDescent="0.25">
      <c r="B22" t="s">
        <v>74</v>
      </c>
      <c r="C22">
        <v>1</v>
      </c>
    </row>
    <row r="24" spans="1:3" x14ac:dyDescent="0.25">
      <c r="A24" s="1" t="s">
        <v>10</v>
      </c>
      <c r="B24" t="s">
        <v>91</v>
      </c>
      <c r="C24">
        <v>2</v>
      </c>
    </row>
    <row r="25" spans="1:3" x14ac:dyDescent="0.25">
      <c r="B25" t="s">
        <v>71</v>
      </c>
      <c r="C25">
        <v>1</v>
      </c>
    </row>
    <row r="26" spans="1:3" x14ac:dyDescent="0.25">
      <c r="B26" t="s">
        <v>105</v>
      </c>
      <c r="C26">
        <v>4</v>
      </c>
    </row>
    <row r="27" spans="1:3" x14ac:dyDescent="0.25">
      <c r="B27" t="s">
        <v>106</v>
      </c>
      <c r="C27">
        <v>3</v>
      </c>
    </row>
    <row r="29" spans="1:3" x14ac:dyDescent="0.25">
      <c r="A29" t="s">
        <v>152</v>
      </c>
      <c r="B29" t="s">
        <v>146</v>
      </c>
      <c r="C29">
        <v>3</v>
      </c>
    </row>
    <row r="30" spans="1:3" x14ac:dyDescent="0.25">
      <c r="B30" t="s">
        <v>151</v>
      </c>
      <c r="C30">
        <v>6</v>
      </c>
    </row>
    <row r="31" spans="1:3" x14ac:dyDescent="0.25">
      <c r="B31" t="s">
        <v>150</v>
      </c>
      <c r="C31">
        <v>4</v>
      </c>
    </row>
    <row r="32" spans="1:3" x14ac:dyDescent="0.25">
      <c r="B32" t="s">
        <v>149</v>
      </c>
      <c r="C32">
        <v>2</v>
      </c>
    </row>
    <row r="33" spans="1:3" x14ac:dyDescent="0.25">
      <c r="B33" t="s">
        <v>148</v>
      </c>
      <c r="C33">
        <v>5</v>
      </c>
    </row>
    <row r="34" spans="1:3" x14ac:dyDescent="0.25">
      <c r="B34" t="s">
        <v>147</v>
      </c>
      <c r="C34">
        <v>1</v>
      </c>
    </row>
    <row r="36" spans="1:3" x14ac:dyDescent="0.25">
      <c r="A36" t="s">
        <v>205</v>
      </c>
      <c r="B36" t="s">
        <v>84</v>
      </c>
      <c r="C36">
        <v>0</v>
      </c>
    </row>
    <row r="37" spans="1:3" x14ac:dyDescent="0.25">
      <c r="B37" t="s">
        <v>78</v>
      </c>
      <c r="C37">
        <v>1</v>
      </c>
    </row>
    <row r="38" spans="1:3" x14ac:dyDescent="0.25">
      <c r="B38" t="s">
        <v>97</v>
      </c>
      <c r="C38">
        <v>0</v>
      </c>
    </row>
    <row r="39" spans="1:3" x14ac:dyDescent="0.25">
      <c r="B39" t="s">
        <v>83</v>
      </c>
      <c r="C39">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1FF39-7D16-4ABD-A599-E764E6B7C7D6}">
  <dimension ref="A1:U56"/>
  <sheetViews>
    <sheetView zoomScale="73" zoomScaleNormal="73" workbookViewId="0">
      <selection activeCell="O41" sqref="O41"/>
    </sheetView>
  </sheetViews>
  <sheetFormatPr defaultColWidth="42.33203125" defaultRowHeight="13.2" x14ac:dyDescent="0.25"/>
  <cols>
    <col min="1" max="1" width="14.21875" bestFit="1" customWidth="1"/>
    <col min="2" max="2" width="13.6640625" bestFit="1" customWidth="1"/>
    <col min="3" max="3" width="14.77734375" customWidth="1"/>
    <col min="4" max="4" width="5.21875" customWidth="1"/>
    <col min="5" max="5" width="14.21875" bestFit="1" customWidth="1"/>
    <col min="6" max="6" width="13.6640625" bestFit="1" customWidth="1"/>
    <col min="7" max="7" width="10.77734375" customWidth="1"/>
    <col min="8" max="8" width="14.21875" bestFit="1" customWidth="1"/>
    <col min="9" max="9" width="13.6640625" bestFit="1" customWidth="1"/>
    <col min="10" max="10" width="5.21875" customWidth="1"/>
    <col min="11" max="11" width="14.21875" bestFit="1" customWidth="1"/>
    <col min="12" max="12" width="13.6640625" bestFit="1" customWidth="1"/>
    <col min="13" max="13" width="6" customWidth="1"/>
    <col min="14" max="14" width="14.21875" bestFit="1" customWidth="1"/>
    <col min="15" max="15" width="14.77734375" bestFit="1" customWidth="1"/>
    <col min="16" max="16" width="6.44140625" customWidth="1"/>
    <col min="17" max="17" width="15.77734375" bestFit="1" customWidth="1"/>
    <col min="18" max="18" width="7.109375" customWidth="1"/>
    <col min="19" max="19" width="5.88671875" customWidth="1"/>
    <col min="20" max="20" width="14.21875" customWidth="1"/>
    <col min="21" max="21" width="6" customWidth="1"/>
    <col min="67" max="67" width="3.21875" bestFit="1" customWidth="1"/>
    <col min="68" max="68" width="4.33203125" bestFit="1" customWidth="1"/>
    <col min="69" max="69" width="16.5546875" bestFit="1" customWidth="1"/>
  </cols>
  <sheetData>
    <row r="1" spans="1:21" x14ac:dyDescent="0.25">
      <c r="A1" t="s">
        <v>166</v>
      </c>
      <c r="B1" t="s">
        <v>165</v>
      </c>
      <c r="C1" t="s">
        <v>164</v>
      </c>
      <c r="D1" t="s">
        <v>155</v>
      </c>
      <c r="E1" t="s">
        <v>156</v>
      </c>
      <c r="F1" t="s">
        <v>167</v>
      </c>
      <c r="H1" t="s">
        <v>166</v>
      </c>
      <c r="I1" t="s">
        <v>155</v>
      </c>
      <c r="K1" t="s">
        <v>165</v>
      </c>
      <c r="L1" t="s">
        <v>155</v>
      </c>
      <c r="N1" t="s">
        <v>167</v>
      </c>
      <c r="O1" t="s">
        <v>164</v>
      </c>
      <c r="Q1" t="s">
        <v>166</v>
      </c>
      <c r="R1" t="s">
        <v>167</v>
      </c>
      <c r="T1" s="8" t="s">
        <v>186</v>
      </c>
      <c r="U1" t="s">
        <v>156</v>
      </c>
    </row>
    <row r="2" spans="1:21" x14ac:dyDescent="0.25">
      <c r="A2" t="s">
        <v>143</v>
      </c>
      <c r="B2">
        <v>6</v>
      </c>
      <c r="C2">
        <v>3</v>
      </c>
      <c r="D2">
        <v>13</v>
      </c>
      <c r="E2">
        <v>14</v>
      </c>
      <c r="F2">
        <v>15</v>
      </c>
      <c r="H2">
        <v>1</v>
      </c>
      <c r="I2">
        <v>13</v>
      </c>
      <c r="K2">
        <v>6</v>
      </c>
      <c r="L2">
        <v>13</v>
      </c>
      <c r="N2">
        <v>15</v>
      </c>
      <c r="O2">
        <v>3</v>
      </c>
      <c r="Q2">
        <v>1</v>
      </c>
      <c r="R2">
        <v>15</v>
      </c>
      <c r="T2">
        <v>1</v>
      </c>
      <c r="U2">
        <v>14</v>
      </c>
    </row>
    <row r="3" spans="1:21" x14ac:dyDescent="0.25">
      <c r="A3" t="s">
        <v>143</v>
      </c>
      <c r="B3">
        <v>6</v>
      </c>
      <c r="C3">
        <v>6</v>
      </c>
      <c r="D3">
        <v>21</v>
      </c>
      <c r="E3">
        <v>20</v>
      </c>
      <c r="F3">
        <v>3</v>
      </c>
      <c r="H3">
        <v>1</v>
      </c>
      <c r="I3">
        <v>21</v>
      </c>
      <c r="K3">
        <v>6</v>
      </c>
      <c r="L3">
        <v>21</v>
      </c>
      <c r="N3">
        <v>3</v>
      </c>
      <c r="O3">
        <v>6</v>
      </c>
      <c r="Q3">
        <v>1</v>
      </c>
      <c r="R3">
        <v>3</v>
      </c>
      <c r="T3">
        <v>1</v>
      </c>
      <c r="U3">
        <v>20</v>
      </c>
    </row>
    <row r="4" spans="1:21" x14ac:dyDescent="0.25">
      <c r="A4" t="s">
        <v>143</v>
      </c>
      <c r="B4">
        <v>5</v>
      </c>
      <c r="C4">
        <v>3</v>
      </c>
      <c r="D4">
        <v>18</v>
      </c>
      <c r="E4">
        <v>14</v>
      </c>
      <c r="F4">
        <v>16</v>
      </c>
      <c r="H4">
        <v>1</v>
      </c>
      <c r="I4">
        <v>18</v>
      </c>
      <c r="K4">
        <v>5</v>
      </c>
      <c r="L4">
        <v>18</v>
      </c>
      <c r="N4">
        <v>16</v>
      </c>
      <c r="O4">
        <v>3</v>
      </c>
      <c r="Q4">
        <v>1</v>
      </c>
      <c r="R4">
        <v>16</v>
      </c>
      <c r="T4">
        <v>1</v>
      </c>
      <c r="U4">
        <v>14</v>
      </c>
    </row>
    <row r="5" spans="1:21" x14ac:dyDescent="0.25">
      <c r="A5" t="s">
        <v>143</v>
      </c>
      <c r="B5">
        <v>4</v>
      </c>
      <c r="C5">
        <v>4</v>
      </c>
      <c r="D5">
        <v>27</v>
      </c>
      <c r="E5">
        <v>13</v>
      </c>
      <c r="F5">
        <v>15</v>
      </c>
      <c r="H5">
        <v>1</v>
      </c>
      <c r="I5">
        <v>27</v>
      </c>
      <c r="K5">
        <v>4</v>
      </c>
      <c r="L5">
        <v>27</v>
      </c>
      <c r="N5">
        <v>15</v>
      </c>
      <c r="O5">
        <v>4</v>
      </c>
      <c r="Q5">
        <v>1</v>
      </c>
      <c r="R5">
        <v>15</v>
      </c>
      <c r="T5">
        <v>1</v>
      </c>
      <c r="U5">
        <v>13</v>
      </c>
    </row>
    <row r="6" spans="1:21" x14ac:dyDescent="0.25">
      <c r="A6" t="s">
        <v>143</v>
      </c>
      <c r="B6">
        <v>3</v>
      </c>
      <c r="C6">
        <v>2</v>
      </c>
      <c r="D6">
        <v>21</v>
      </c>
      <c r="E6">
        <v>22</v>
      </c>
      <c r="F6">
        <v>7</v>
      </c>
      <c r="H6">
        <v>1</v>
      </c>
      <c r="I6">
        <v>21</v>
      </c>
      <c r="K6">
        <v>3</v>
      </c>
      <c r="L6">
        <v>21</v>
      </c>
      <c r="N6">
        <v>7</v>
      </c>
      <c r="O6">
        <v>2</v>
      </c>
      <c r="Q6">
        <v>1</v>
      </c>
      <c r="R6">
        <v>7</v>
      </c>
      <c r="T6">
        <v>1</v>
      </c>
      <c r="U6">
        <v>22</v>
      </c>
    </row>
    <row r="7" spans="1:21" x14ac:dyDescent="0.25">
      <c r="A7" t="s">
        <v>143</v>
      </c>
      <c r="B7">
        <v>4</v>
      </c>
      <c r="C7">
        <v>4</v>
      </c>
      <c r="D7">
        <v>20</v>
      </c>
      <c r="E7">
        <v>13</v>
      </c>
      <c r="F7">
        <v>10</v>
      </c>
      <c r="H7">
        <v>1</v>
      </c>
      <c r="I7">
        <v>20</v>
      </c>
      <c r="K7">
        <v>4</v>
      </c>
      <c r="L7">
        <v>20</v>
      </c>
      <c r="N7">
        <v>10</v>
      </c>
      <c r="O7">
        <v>4</v>
      </c>
      <c r="Q7">
        <v>1</v>
      </c>
      <c r="R7">
        <v>10</v>
      </c>
      <c r="T7">
        <v>1</v>
      </c>
      <c r="U7">
        <v>13</v>
      </c>
    </row>
    <row r="8" spans="1:21" x14ac:dyDescent="0.25">
      <c r="A8" t="s">
        <v>143</v>
      </c>
      <c r="B8">
        <v>6</v>
      </c>
      <c r="C8">
        <v>2</v>
      </c>
      <c r="D8">
        <v>21</v>
      </c>
      <c r="E8">
        <v>14</v>
      </c>
      <c r="F8">
        <v>4</v>
      </c>
      <c r="H8">
        <v>1</v>
      </c>
      <c r="I8">
        <v>21</v>
      </c>
      <c r="K8">
        <v>6</v>
      </c>
      <c r="L8">
        <v>21</v>
      </c>
      <c r="N8">
        <v>4</v>
      </c>
      <c r="O8">
        <v>2</v>
      </c>
      <c r="Q8">
        <v>1</v>
      </c>
      <c r="R8">
        <v>4</v>
      </c>
      <c r="T8">
        <v>1</v>
      </c>
      <c r="U8">
        <v>14</v>
      </c>
    </row>
    <row r="9" spans="1:21" x14ac:dyDescent="0.25">
      <c r="A9" t="s">
        <v>143</v>
      </c>
      <c r="B9">
        <v>6</v>
      </c>
      <c r="C9">
        <v>4</v>
      </c>
      <c r="D9">
        <v>11</v>
      </c>
      <c r="E9">
        <v>21</v>
      </c>
      <c r="F9">
        <v>10</v>
      </c>
      <c r="H9">
        <v>1</v>
      </c>
      <c r="I9">
        <v>11</v>
      </c>
      <c r="K9">
        <v>6</v>
      </c>
      <c r="L9">
        <v>11</v>
      </c>
      <c r="N9">
        <v>10</v>
      </c>
      <c r="O9">
        <v>4</v>
      </c>
      <c r="Q9">
        <v>1</v>
      </c>
      <c r="R9">
        <v>10</v>
      </c>
      <c r="T9">
        <v>1</v>
      </c>
      <c r="U9">
        <v>21</v>
      </c>
    </row>
    <row r="10" spans="1:21" x14ac:dyDescent="0.25">
      <c r="A10" t="s">
        <v>143</v>
      </c>
      <c r="B10">
        <v>4</v>
      </c>
      <c r="C10">
        <v>4</v>
      </c>
      <c r="D10">
        <v>24</v>
      </c>
      <c r="E10">
        <v>11</v>
      </c>
      <c r="F10">
        <v>22</v>
      </c>
      <c r="H10">
        <v>1</v>
      </c>
      <c r="I10">
        <v>24</v>
      </c>
      <c r="K10">
        <v>4</v>
      </c>
      <c r="L10">
        <v>24</v>
      </c>
      <c r="N10">
        <v>22</v>
      </c>
      <c r="O10">
        <v>4</v>
      </c>
      <c r="Q10">
        <v>1</v>
      </c>
      <c r="R10">
        <v>22</v>
      </c>
      <c r="T10">
        <v>1</v>
      </c>
      <c r="U10">
        <v>11</v>
      </c>
    </row>
    <row r="11" spans="1:21" x14ac:dyDescent="0.25">
      <c r="A11" t="s">
        <v>143</v>
      </c>
      <c r="B11">
        <v>3</v>
      </c>
      <c r="C11">
        <v>3</v>
      </c>
      <c r="D11">
        <v>24</v>
      </c>
      <c r="E11">
        <v>17</v>
      </c>
      <c r="F11">
        <v>0</v>
      </c>
      <c r="H11">
        <v>1</v>
      </c>
      <c r="I11">
        <v>24</v>
      </c>
      <c r="K11">
        <v>3</v>
      </c>
      <c r="L11">
        <v>24</v>
      </c>
      <c r="N11">
        <v>0</v>
      </c>
      <c r="O11">
        <v>3</v>
      </c>
      <c r="Q11">
        <v>1</v>
      </c>
      <c r="R11">
        <v>0</v>
      </c>
      <c r="T11">
        <v>1</v>
      </c>
      <c r="U11">
        <v>17</v>
      </c>
    </row>
    <row r="12" spans="1:21" x14ac:dyDescent="0.25">
      <c r="A12" t="s">
        <v>121</v>
      </c>
      <c r="B12">
        <v>4</v>
      </c>
      <c r="C12">
        <v>3</v>
      </c>
      <c r="D12">
        <v>16</v>
      </c>
      <c r="E12">
        <v>13</v>
      </c>
      <c r="F12">
        <v>2</v>
      </c>
      <c r="H12">
        <v>2</v>
      </c>
      <c r="I12">
        <v>16</v>
      </c>
      <c r="K12">
        <v>4</v>
      </c>
      <c r="L12">
        <v>16</v>
      </c>
      <c r="N12">
        <v>2</v>
      </c>
      <c r="O12">
        <v>3</v>
      </c>
      <c r="Q12">
        <v>2</v>
      </c>
      <c r="R12">
        <v>2</v>
      </c>
      <c r="T12">
        <v>2</v>
      </c>
      <c r="U12">
        <v>13</v>
      </c>
    </row>
    <row r="13" spans="1:21" x14ac:dyDescent="0.25">
      <c r="A13" t="s">
        <v>121</v>
      </c>
      <c r="B13">
        <v>2</v>
      </c>
      <c r="C13">
        <v>3</v>
      </c>
      <c r="D13">
        <v>20</v>
      </c>
      <c r="E13">
        <v>16</v>
      </c>
      <c r="F13">
        <v>4</v>
      </c>
      <c r="H13">
        <v>2</v>
      </c>
      <c r="I13">
        <v>20</v>
      </c>
      <c r="K13">
        <v>2</v>
      </c>
      <c r="L13">
        <v>20</v>
      </c>
      <c r="N13">
        <v>4</v>
      </c>
      <c r="O13">
        <v>3</v>
      </c>
      <c r="Q13">
        <v>2</v>
      </c>
      <c r="R13">
        <v>4</v>
      </c>
      <c r="T13">
        <v>2</v>
      </c>
      <c r="U13">
        <v>16</v>
      </c>
    </row>
    <row r="14" spans="1:21" x14ac:dyDescent="0.25">
      <c r="A14" t="s">
        <v>121</v>
      </c>
      <c r="B14">
        <v>5</v>
      </c>
      <c r="C14">
        <v>3</v>
      </c>
      <c r="D14">
        <v>17</v>
      </c>
      <c r="E14">
        <v>22</v>
      </c>
      <c r="F14">
        <v>2</v>
      </c>
      <c r="H14">
        <v>2</v>
      </c>
      <c r="I14">
        <v>17</v>
      </c>
      <c r="K14">
        <v>5</v>
      </c>
      <c r="L14">
        <v>17</v>
      </c>
      <c r="N14">
        <v>2</v>
      </c>
      <c r="O14">
        <v>3</v>
      </c>
      <c r="Q14">
        <v>2</v>
      </c>
      <c r="R14">
        <v>2</v>
      </c>
      <c r="T14">
        <v>2</v>
      </c>
      <c r="U14">
        <v>22</v>
      </c>
    </row>
    <row r="15" spans="1:21" x14ac:dyDescent="0.25">
      <c r="A15" t="s">
        <v>121</v>
      </c>
      <c r="B15">
        <v>4</v>
      </c>
      <c r="C15">
        <v>4</v>
      </c>
      <c r="D15">
        <v>13</v>
      </c>
      <c r="E15">
        <v>9</v>
      </c>
      <c r="F15">
        <v>0</v>
      </c>
      <c r="H15">
        <v>2</v>
      </c>
      <c r="I15">
        <v>13</v>
      </c>
      <c r="K15">
        <v>4</v>
      </c>
      <c r="L15">
        <v>13</v>
      </c>
      <c r="N15">
        <v>0</v>
      </c>
      <c r="O15">
        <v>4</v>
      </c>
      <c r="Q15">
        <v>2</v>
      </c>
      <c r="R15">
        <v>0</v>
      </c>
      <c r="T15">
        <v>2</v>
      </c>
      <c r="U15">
        <v>9</v>
      </c>
    </row>
    <row r="16" spans="1:21" x14ac:dyDescent="0.25">
      <c r="A16" t="s">
        <v>121</v>
      </c>
      <c r="B16">
        <v>4</v>
      </c>
      <c r="C16">
        <v>2</v>
      </c>
      <c r="D16">
        <v>24</v>
      </c>
      <c r="E16">
        <v>21</v>
      </c>
      <c r="F16">
        <v>0</v>
      </c>
      <c r="H16">
        <v>2</v>
      </c>
      <c r="I16">
        <v>24</v>
      </c>
      <c r="K16">
        <v>4</v>
      </c>
      <c r="L16">
        <v>24</v>
      </c>
      <c r="N16">
        <v>0</v>
      </c>
      <c r="O16">
        <v>2</v>
      </c>
      <c r="Q16">
        <v>2</v>
      </c>
      <c r="R16">
        <v>0</v>
      </c>
      <c r="T16">
        <v>2</v>
      </c>
      <c r="U16">
        <v>21</v>
      </c>
    </row>
    <row r="17" spans="1:21" x14ac:dyDescent="0.25">
      <c r="A17" t="s">
        <v>121</v>
      </c>
      <c r="B17">
        <v>4</v>
      </c>
      <c r="C17">
        <v>5</v>
      </c>
      <c r="D17">
        <v>15</v>
      </c>
      <c r="E17">
        <v>12</v>
      </c>
      <c r="F17">
        <v>0</v>
      </c>
      <c r="H17">
        <v>2</v>
      </c>
      <c r="I17">
        <v>15</v>
      </c>
      <c r="K17">
        <v>4</v>
      </c>
      <c r="L17">
        <v>15</v>
      </c>
      <c r="N17">
        <v>0</v>
      </c>
      <c r="O17">
        <v>5</v>
      </c>
      <c r="Q17">
        <v>2</v>
      </c>
      <c r="R17">
        <v>0</v>
      </c>
      <c r="T17">
        <v>2</v>
      </c>
      <c r="U17">
        <v>12</v>
      </c>
    </row>
    <row r="18" spans="1:21" x14ac:dyDescent="0.25">
      <c r="A18" t="s">
        <v>121</v>
      </c>
      <c r="B18">
        <v>5</v>
      </c>
      <c r="C18">
        <v>3</v>
      </c>
      <c r="D18">
        <v>21</v>
      </c>
      <c r="E18">
        <v>20</v>
      </c>
      <c r="F18">
        <v>0</v>
      </c>
      <c r="H18">
        <v>2</v>
      </c>
      <c r="I18">
        <v>21</v>
      </c>
      <c r="K18">
        <v>5</v>
      </c>
      <c r="L18">
        <v>21</v>
      </c>
      <c r="N18">
        <v>0</v>
      </c>
      <c r="O18">
        <v>3</v>
      </c>
      <c r="Q18">
        <v>2</v>
      </c>
      <c r="R18">
        <v>0</v>
      </c>
      <c r="T18">
        <v>2</v>
      </c>
      <c r="U18">
        <v>20</v>
      </c>
    </row>
    <row r="19" spans="1:21" x14ac:dyDescent="0.25">
      <c r="A19" t="s">
        <v>121</v>
      </c>
      <c r="B19">
        <v>6</v>
      </c>
      <c r="C19">
        <v>2</v>
      </c>
      <c r="D19">
        <v>29</v>
      </c>
      <c r="E19">
        <v>21</v>
      </c>
      <c r="F19">
        <v>0</v>
      </c>
      <c r="H19">
        <v>2</v>
      </c>
      <c r="I19">
        <v>29</v>
      </c>
      <c r="K19">
        <v>6</v>
      </c>
      <c r="L19">
        <v>29</v>
      </c>
      <c r="N19">
        <v>0</v>
      </c>
      <c r="O19">
        <v>2</v>
      </c>
      <c r="Q19">
        <v>2</v>
      </c>
      <c r="R19">
        <v>0</v>
      </c>
      <c r="T19">
        <v>2</v>
      </c>
      <c r="U19">
        <v>21</v>
      </c>
    </row>
    <row r="20" spans="1:21" x14ac:dyDescent="0.25">
      <c r="A20" t="s">
        <v>121</v>
      </c>
      <c r="B20">
        <v>3</v>
      </c>
      <c r="C20">
        <v>3</v>
      </c>
      <c r="D20">
        <v>21</v>
      </c>
      <c r="E20">
        <v>14</v>
      </c>
      <c r="F20">
        <v>4</v>
      </c>
      <c r="H20">
        <v>2</v>
      </c>
      <c r="I20">
        <v>21</v>
      </c>
      <c r="K20">
        <v>3</v>
      </c>
      <c r="L20">
        <v>21</v>
      </c>
      <c r="N20">
        <v>4</v>
      </c>
      <c r="O20">
        <v>3</v>
      </c>
      <c r="Q20">
        <v>2</v>
      </c>
      <c r="R20">
        <v>4</v>
      </c>
      <c r="T20">
        <v>2</v>
      </c>
      <c r="U20">
        <v>14</v>
      </c>
    </row>
    <row r="21" spans="1:21" x14ac:dyDescent="0.25">
      <c r="A21" t="s">
        <v>121</v>
      </c>
      <c r="B21">
        <v>6</v>
      </c>
      <c r="C21">
        <v>2</v>
      </c>
      <c r="D21">
        <v>12</v>
      </c>
      <c r="E21">
        <v>22</v>
      </c>
      <c r="F21">
        <v>6</v>
      </c>
      <c r="H21">
        <v>2</v>
      </c>
      <c r="I21">
        <v>12</v>
      </c>
      <c r="K21">
        <v>6</v>
      </c>
      <c r="L21">
        <v>12</v>
      </c>
      <c r="N21">
        <v>6</v>
      </c>
      <c r="O21">
        <v>2</v>
      </c>
      <c r="Q21">
        <v>2</v>
      </c>
      <c r="R21">
        <v>6</v>
      </c>
      <c r="T21">
        <v>2</v>
      </c>
      <c r="U21">
        <v>22</v>
      </c>
    </row>
    <row r="22" spans="1:21" x14ac:dyDescent="0.25">
      <c r="A22" t="s">
        <v>121</v>
      </c>
      <c r="B22">
        <v>5</v>
      </c>
      <c r="C22">
        <v>4</v>
      </c>
      <c r="D22">
        <v>16</v>
      </c>
      <c r="E22">
        <v>11</v>
      </c>
      <c r="F22">
        <v>2</v>
      </c>
      <c r="H22">
        <v>2</v>
      </c>
      <c r="I22">
        <v>16</v>
      </c>
      <c r="K22">
        <v>5</v>
      </c>
      <c r="L22">
        <v>16</v>
      </c>
      <c r="N22">
        <v>2</v>
      </c>
      <c r="O22">
        <v>4</v>
      </c>
      <c r="Q22">
        <v>2</v>
      </c>
      <c r="R22">
        <v>2</v>
      </c>
      <c r="T22">
        <v>2</v>
      </c>
      <c r="U22">
        <v>11</v>
      </c>
    </row>
    <row r="23" spans="1:21" x14ac:dyDescent="0.25">
      <c r="A23" t="s">
        <v>121</v>
      </c>
      <c r="B23">
        <v>1</v>
      </c>
      <c r="C23">
        <v>1</v>
      </c>
      <c r="D23">
        <v>26</v>
      </c>
      <c r="E23">
        <v>23</v>
      </c>
      <c r="F23">
        <v>0</v>
      </c>
      <c r="H23">
        <v>2</v>
      </c>
      <c r="I23">
        <v>26</v>
      </c>
      <c r="L23">
        <v>26</v>
      </c>
      <c r="N23">
        <v>0</v>
      </c>
      <c r="O23">
        <v>1</v>
      </c>
      <c r="Q23">
        <v>2</v>
      </c>
      <c r="R23">
        <v>0</v>
      </c>
      <c r="T23">
        <v>2</v>
      </c>
      <c r="U23">
        <v>23</v>
      </c>
    </row>
    <row r="24" spans="1:21" x14ac:dyDescent="0.25">
      <c r="A24" t="s">
        <v>121</v>
      </c>
      <c r="B24">
        <v>2</v>
      </c>
      <c r="C24">
        <v>3</v>
      </c>
      <c r="D24">
        <v>24</v>
      </c>
      <c r="E24">
        <v>22</v>
      </c>
      <c r="F24">
        <v>0</v>
      </c>
      <c r="H24">
        <v>2</v>
      </c>
      <c r="I24">
        <v>24</v>
      </c>
      <c r="K24">
        <v>2</v>
      </c>
      <c r="L24">
        <v>24</v>
      </c>
      <c r="N24">
        <v>0</v>
      </c>
      <c r="O24">
        <v>3</v>
      </c>
      <c r="Q24">
        <v>2</v>
      </c>
      <c r="R24">
        <v>0</v>
      </c>
      <c r="T24">
        <v>2</v>
      </c>
      <c r="U24">
        <v>22</v>
      </c>
    </row>
    <row r="25" spans="1:21" x14ac:dyDescent="0.25">
      <c r="A25" t="s">
        <v>121</v>
      </c>
      <c r="B25">
        <v>4</v>
      </c>
      <c r="C25">
        <v>5</v>
      </c>
      <c r="D25">
        <v>21</v>
      </c>
      <c r="E25">
        <v>12</v>
      </c>
      <c r="F25">
        <v>7</v>
      </c>
      <c r="H25">
        <v>2</v>
      </c>
      <c r="I25">
        <v>21</v>
      </c>
      <c r="K25">
        <v>4</v>
      </c>
      <c r="L25">
        <v>21</v>
      </c>
      <c r="N25">
        <v>7</v>
      </c>
      <c r="O25">
        <v>5</v>
      </c>
      <c r="Q25">
        <v>2</v>
      </c>
      <c r="R25">
        <v>7</v>
      </c>
      <c r="T25">
        <v>2</v>
      </c>
      <c r="U25">
        <v>12</v>
      </c>
    </row>
    <row r="26" spans="1:21" x14ac:dyDescent="0.25">
      <c r="A26" t="s">
        <v>121</v>
      </c>
      <c r="B26">
        <v>2</v>
      </c>
      <c r="C26">
        <v>2</v>
      </c>
      <c r="D26">
        <v>32</v>
      </c>
      <c r="E26">
        <v>10</v>
      </c>
      <c r="F26">
        <v>0</v>
      </c>
      <c r="H26">
        <v>2</v>
      </c>
      <c r="I26">
        <v>32</v>
      </c>
      <c r="K26">
        <v>2</v>
      </c>
      <c r="L26">
        <v>32</v>
      </c>
      <c r="N26">
        <v>0</v>
      </c>
      <c r="O26">
        <v>2</v>
      </c>
      <c r="Q26">
        <v>2</v>
      </c>
      <c r="R26">
        <v>0</v>
      </c>
      <c r="T26">
        <v>2</v>
      </c>
      <c r="U26">
        <v>10</v>
      </c>
    </row>
    <row r="27" spans="1:21" x14ac:dyDescent="0.25">
      <c r="A27" t="s">
        <v>121</v>
      </c>
      <c r="B27">
        <v>3</v>
      </c>
      <c r="C27">
        <v>4</v>
      </c>
      <c r="D27">
        <v>25</v>
      </c>
      <c r="E27">
        <v>18</v>
      </c>
      <c r="F27">
        <v>0</v>
      </c>
      <c r="H27">
        <v>2</v>
      </c>
      <c r="I27">
        <v>25</v>
      </c>
      <c r="K27">
        <v>3</v>
      </c>
      <c r="L27">
        <v>25</v>
      </c>
      <c r="N27">
        <v>0</v>
      </c>
      <c r="O27">
        <v>4</v>
      </c>
      <c r="Q27">
        <v>2</v>
      </c>
      <c r="R27">
        <v>0</v>
      </c>
      <c r="T27">
        <v>2</v>
      </c>
      <c r="U27">
        <v>18</v>
      </c>
    </row>
    <row r="28" spans="1:21" x14ac:dyDescent="0.25">
      <c r="A28" t="s">
        <v>121</v>
      </c>
      <c r="B28">
        <v>3</v>
      </c>
      <c r="C28">
        <v>4</v>
      </c>
      <c r="D28">
        <v>23</v>
      </c>
      <c r="E28">
        <v>11</v>
      </c>
      <c r="F28">
        <v>4</v>
      </c>
      <c r="H28">
        <v>2</v>
      </c>
      <c r="I28">
        <v>23</v>
      </c>
      <c r="K28">
        <v>3</v>
      </c>
      <c r="L28">
        <v>23</v>
      </c>
      <c r="N28">
        <v>4</v>
      </c>
      <c r="O28">
        <v>4</v>
      </c>
      <c r="Q28">
        <v>2</v>
      </c>
      <c r="R28">
        <v>4</v>
      </c>
      <c r="T28">
        <v>2</v>
      </c>
      <c r="U28">
        <v>11</v>
      </c>
    </row>
    <row r="29" spans="1:21" x14ac:dyDescent="0.25">
      <c r="A29" t="s">
        <v>121</v>
      </c>
      <c r="B29">
        <v>5</v>
      </c>
      <c r="C29">
        <v>4</v>
      </c>
      <c r="D29">
        <v>18</v>
      </c>
      <c r="E29">
        <v>16</v>
      </c>
      <c r="F29">
        <v>5</v>
      </c>
      <c r="H29">
        <v>2</v>
      </c>
      <c r="I29">
        <v>18</v>
      </c>
      <c r="K29">
        <v>5</v>
      </c>
      <c r="L29">
        <v>18</v>
      </c>
      <c r="N29">
        <v>5</v>
      </c>
      <c r="O29">
        <v>4</v>
      </c>
      <c r="Q29">
        <v>2</v>
      </c>
      <c r="R29">
        <v>5</v>
      </c>
      <c r="T29">
        <v>2</v>
      </c>
      <c r="U29">
        <v>16</v>
      </c>
    </row>
    <row r="30" spans="1:21" x14ac:dyDescent="0.25">
      <c r="A30" t="s">
        <v>121</v>
      </c>
      <c r="B30">
        <v>4</v>
      </c>
      <c r="C30">
        <v>2</v>
      </c>
      <c r="D30">
        <v>22</v>
      </c>
      <c r="E30">
        <v>21</v>
      </c>
      <c r="F30">
        <v>0</v>
      </c>
      <c r="H30">
        <v>2</v>
      </c>
      <c r="I30">
        <v>22</v>
      </c>
      <c r="K30">
        <v>4</v>
      </c>
      <c r="L30">
        <v>22</v>
      </c>
      <c r="N30">
        <v>0</v>
      </c>
      <c r="O30">
        <v>2</v>
      </c>
      <c r="Q30">
        <v>2</v>
      </c>
      <c r="R30">
        <v>0</v>
      </c>
      <c r="T30">
        <v>2</v>
      </c>
      <c r="U30">
        <v>21</v>
      </c>
    </row>
    <row r="31" spans="1:21" x14ac:dyDescent="0.25">
      <c r="A31" t="s">
        <v>121</v>
      </c>
      <c r="B31">
        <v>4</v>
      </c>
      <c r="C31">
        <v>4</v>
      </c>
      <c r="D31">
        <v>16</v>
      </c>
      <c r="E31">
        <v>14</v>
      </c>
      <c r="F31">
        <v>1</v>
      </c>
      <c r="H31">
        <v>2</v>
      </c>
      <c r="I31">
        <v>16</v>
      </c>
      <c r="K31">
        <v>4</v>
      </c>
      <c r="L31">
        <v>16</v>
      </c>
      <c r="N31">
        <v>1</v>
      </c>
      <c r="O31">
        <v>4</v>
      </c>
      <c r="Q31">
        <v>2</v>
      </c>
      <c r="R31">
        <v>1</v>
      </c>
      <c r="T31">
        <v>2</v>
      </c>
      <c r="U31">
        <v>14</v>
      </c>
    </row>
    <row r="32" spans="1:21" x14ac:dyDescent="0.25">
      <c r="A32" t="s">
        <v>121</v>
      </c>
      <c r="B32">
        <v>4</v>
      </c>
      <c r="C32">
        <v>3</v>
      </c>
      <c r="D32">
        <v>15</v>
      </c>
      <c r="E32">
        <v>22</v>
      </c>
      <c r="F32">
        <v>0</v>
      </c>
      <c r="H32">
        <v>2</v>
      </c>
      <c r="I32">
        <v>15</v>
      </c>
      <c r="K32">
        <v>4</v>
      </c>
      <c r="L32">
        <v>15</v>
      </c>
      <c r="N32">
        <v>0</v>
      </c>
      <c r="O32">
        <v>3</v>
      </c>
      <c r="Q32">
        <v>2</v>
      </c>
      <c r="R32">
        <v>0</v>
      </c>
      <c r="T32">
        <v>2</v>
      </c>
      <c r="U32">
        <v>22</v>
      </c>
    </row>
    <row r="33" spans="1:21" x14ac:dyDescent="0.25">
      <c r="A33" t="s">
        <v>121</v>
      </c>
      <c r="B33">
        <v>5</v>
      </c>
      <c r="C33">
        <v>4</v>
      </c>
      <c r="D33">
        <v>17</v>
      </c>
      <c r="E33">
        <v>22</v>
      </c>
      <c r="F33">
        <v>0</v>
      </c>
      <c r="H33">
        <v>2</v>
      </c>
      <c r="I33">
        <v>17</v>
      </c>
      <c r="K33">
        <v>5</v>
      </c>
      <c r="L33">
        <v>17</v>
      </c>
      <c r="N33">
        <v>0</v>
      </c>
      <c r="O33">
        <v>4</v>
      </c>
      <c r="Q33">
        <v>2</v>
      </c>
      <c r="R33">
        <v>0</v>
      </c>
      <c r="T33">
        <v>2</v>
      </c>
      <c r="U33">
        <v>22</v>
      </c>
    </row>
    <row r="34" spans="1:21" x14ac:dyDescent="0.25">
      <c r="A34" t="s">
        <v>121</v>
      </c>
      <c r="B34">
        <v>5</v>
      </c>
      <c r="C34">
        <v>3</v>
      </c>
      <c r="D34">
        <v>24</v>
      </c>
      <c r="E34">
        <v>13</v>
      </c>
      <c r="F34">
        <v>8</v>
      </c>
      <c r="H34">
        <v>2</v>
      </c>
      <c r="I34">
        <v>24</v>
      </c>
      <c r="K34">
        <v>5</v>
      </c>
      <c r="L34">
        <v>24</v>
      </c>
      <c r="N34">
        <v>8</v>
      </c>
      <c r="O34">
        <v>3</v>
      </c>
      <c r="Q34">
        <v>2</v>
      </c>
      <c r="R34">
        <v>8</v>
      </c>
      <c r="T34">
        <v>2</v>
      </c>
      <c r="U34">
        <v>13</v>
      </c>
    </row>
    <row r="35" spans="1:21" x14ac:dyDescent="0.25">
      <c r="A35" t="s">
        <v>121</v>
      </c>
      <c r="B35">
        <v>4</v>
      </c>
      <c r="C35">
        <v>3</v>
      </c>
      <c r="D35">
        <v>26</v>
      </c>
      <c r="E35">
        <v>17</v>
      </c>
      <c r="F35">
        <v>0</v>
      </c>
      <c r="H35">
        <v>2</v>
      </c>
      <c r="I35">
        <v>26</v>
      </c>
      <c r="K35">
        <v>4</v>
      </c>
      <c r="L35">
        <v>26</v>
      </c>
      <c r="N35">
        <v>0</v>
      </c>
      <c r="O35">
        <v>3</v>
      </c>
      <c r="Q35">
        <v>2</v>
      </c>
      <c r="R35">
        <v>0</v>
      </c>
      <c r="T35">
        <v>2</v>
      </c>
      <c r="U35">
        <v>17</v>
      </c>
    </row>
    <row r="36" spans="1:21" x14ac:dyDescent="0.25">
      <c r="A36" t="s">
        <v>121</v>
      </c>
      <c r="B36">
        <v>4</v>
      </c>
      <c r="C36">
        <v>3</v>
      </c>
      <c r="D36">
        <v>17</v>
      </c>
      <c r="E36">
        <v>11</v>
      </c>
      <c r="F36">
        <v>2</v>
      </c>
      <c r="H36">
        <v>2</v>
      </c>
      <c r="I36">
        <v>17</v>
      </c>
      <c r="K36">
        <v>4</v>
      </c>
      <c r="L36">
        <v>17</v>
      </c>
      <c r="N36">
        <v>2</v>
      </c>
      <c r="O36">
        <v>3</v>
      </c>
      <c r="Q36">
        <v>2</v>
      </c>
      <c r="R36">
        <v>2</v>
      </c>
      <c r="T36">
        <v>2</v>
      </c>
      <c r="U36">
        <v>11</v>
      </c>
    </row>
    <row r="47" spans="1:21" x14ac:dyDescent="0.25">
      <c r="A47" t="s">
        <v>190</v>
      </c>
    </row>
    <row r="48" spans="1:21" x14ac:dyDescent="0.25">
      <c r="E48" t="s">
        <v>192</v>
      </c>
      <c r="H48" t="s">
        <v>191</v>
      </c>
      <c r="K48" t="s">
        <v>193</v>
      </c>
      <c r="N48" t="s">
        <v>196</v>
      </c>
      <c r="Q48" t="s">
        <v>204</v>
      </c>
    </row>
    <row r="49" spans="1:17" x14ac:dyDescent="0.25">
      <c r="A49" s="9" t="s">
        <v>187</v>
      </c>
      <c r="B49" t="s">
        <v>189</v>
      </c>
      <c r="E49" s="9" t="s">
        <v>187</v>
      </c>
      <c r="F49" t="s">
        <v>189</v>
      </c>
      <c r="H49" s="9" t="s">
        <v>187</v>
      </c>
      <c r="I49" t="s">
        <v>195</v>
      </c>
      <c r="K49" s="9" t="s">
        <v>187</v>
      </c>
      <c r="L49" t="s">
        <v>195</v>
      </c>
      <c r="N49" s="9" t="s">
        <v>187</v>
      </c>
      <c r="O49" t="s">
        <v>194</v>
      </c>
      <c r="Q49">
        <v>25</v>
      </c>
    </row>
    <row r="50" spans="1:17" x14ac:dyDescent="0.25">
      <c r="A50" s="10" t="s">
        <v>121</v>
      </c>
      <c r="B50">
        <v>20.399999999999999</v>
      </c>
      <c r="E50" s="10" t="s">
        <v>197</v>
      </c>
      <c r="F50" s="12">
        <v>26</v>
      </c>
      <c r="H50" s="10" t="s">
        <v>147</v>
      </c>
      <c r="I50" s="12">
        <v>0</v>
      </c>
      <c r="K50" s="10" t="s">
        <v>121</v>
      </c>
      <c r="L50">
        <v>1.88</v>
      </c>
      <c r="N50" s="10" t="s">
        <v>121</v>
      </c>
      <c r="O50">
        <v>16.52</v>
      </c>
      <c r="Q50">
        <f>GETPIVOTDATA("Gender",$Q$48)</f>
        <v>25</v>
      </c>
    </row>
    <row r="51" spans="1:17" x14ac:dyDescent="0.25">
      <c r="A51" s="10" t="s">
        <v>188</v>
      </c>
      <c r="B51">
        <v>20.399999999999999</v>
      </c>
      <c r="E51" s="10" t="s">
        <v>198</v>
      </c>
      <c r="F51" s="12">
        <v>25.333333333333332</v>
      </c>
      <c r="H51" s="10" t="s">
        <v>149</v>
      </c>
      <c r="I51" s="12">
        <v>1.2</v>
      </c>
      <c r="K51" s="10" t="s">
        <v>188</v>
      </c>
      <c r="L51">
        <v>1.88</v>
      </c>
      <c r="N51" s="10" t="s">
        <v>188</v>
      </c>
      <c r="O51">
        <v>16.52</v>
      </c>
    </row>
    <row r="52" spans="1:17" x14ac:dyDescent="0.25">
      <c r="E52" s="10" t="s">
        <v>199</v>
      </c>
      <c r="F52" s="12">
        <v>23</v>
      </c>
      <c r="H52" s="10" t="s">
        <v>146</v>
      </c>
      <c r="I52" s="12">
        <v>2.2000000000000002</v>
      </c>
    </row>
    <row r="53" spans="1:17" x14ac:dyDescent="0.25">
      <c r="E53" s="10" t="s">
        <v>64</v>
      </c>
      <c r="F53" s="12">
        <v>20.5</v>
      </c>
      <c r="H53" s="10" t="s">
        <v>202</v>
      </c>
      <c r="I53" s="12">
        <v>1.7142857142857142</v>
      </c>
    </row>
    <row r="54" spans="1:17" x14ac:dyDescent="0.25">
      <c r="E54" s="10" t="s">
        <v>201</v>
      </c>
      <c r="F54" s="12">
        <v>18.833333333333332</v>
      </c>
      <c r="H54" s="10" t="s">
        <v>203</v>
      </c>
      <c r="I54" s="12">
        <v>3.5</v>
      </c>
    </row>
    <row r="55" spans="1:17" x14ac:dyDescent="0.25">
      <c r="E55" s="10" t="s">
        <v>200</v>
      </c>
      <c r="F55" s="12">
        <v>18.5</v>
      </c>
      <c r="H55" s="10" t="s">
        <v>188</v>
      </c>
      <c r="I55" s="12">
        <v>1.88</v>
      </c>
    </row>
    <row r="56" spans="1:17" x14ac:dyDescent="0.25">
      <c r="E56" s="10" t="s">
        <v>188</v>
      </c>
      <c r="F56" s="12">
        <v>20.399999999999999</v>
      </c>
    </row>
  </sheetData>
  <pageMargins left="0.7" right="0.7" top="0.75" bottom="0.75" header="0.3" footer="0.3"/>
  <pageSetup orientation="portrait" r:id="rId7"/>
  <tableParts count="1">
    <tablePart r:id="rId8"/>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3DE2-6786-481F-8A41-BE2FE9BB2271}">
  <dimension ref="A1:AT15"/>
  <sheetViews>
    <sheetView topLeftCell="AE1" workbookViewId="0"/>
  </sheetViews>
  <sheetFormatPr defaultRowHeight="13.2" x14ac:dyDescent="0.25"/>
  <cols>
    <col min="1" max="1" width="17.5546875" bestFit="1" customWidth="1"/>
    <col min="2" max="2" width="11.77734375" bestFit="1" customWidth="1"/>
    <col min="3" max="3" width="5.109375" bestFit="1" customWidth="1"/>
    <col min="4" max="5" width="11.77734375" bestFit="1" customWidth="1"/>
    <col min="6" max="6" width="12.109375" bestFit="1" customWidth="1"/>
    <col min="7" max="7" width="11.77734375" bestFit="1" customWidth="1"/>
    <col min="11" max="11" width="17.5546875" bestFit="1" customWidth="1"/>
    <col min="12" max="12" width="11.77734375" bestFit="1" customWidth="1"/>
    <col min="13" max="13" width="5.109375" bestFit="1" customWidth="1"/>
    <col min="14" max="15" width="11.77734375" bestFit="1" customWidth="1"/>
    <col min="16" max="16" width="12.109375" bestFit="1" customWidth="1"/>
    <col min="17" max="17" width="11.77734375" bestFit="1" customWidth="1"/>
    <col min="21" max="21" width="17.5546875" bestFit="1" customWidth="1"/>
    <col min="22" max="22" width="11.77734375" bestFit="1" customWidth="1"/>
    <col min="23" max="23" width="5.109375" bestFit="1" customWidth="1"/>
    <col min="24" max="27" width="11.77734375" bestFit="1" customWidth="1"/>
    <col min="30" max="30" width="17.5546875" bestFit="1" customWidth="1"/>
    <col min="31" max="31" width="11.77734375" bestFit="1" customWidth="1"/>
    <col min="32" max="32" width="5.109375" bestFit="1" customWidth="1"/>
    <col min="33" max="36" width="11.77734375" bestFit="1" customWidth="1"/>
    <col min="40" max="40" width="17.5546875" bestFit="1" customWidth="1"/>
    <col min="41" max="41" width="11.77734375" bestFit="1" customWidth="1"/>
    <col min="42" max="42" width="5.109375" bestFit="1" customWidth="1"/>
    <col min="43" max="44" width="11.77734375" bestFit="1" customWidth="1"/>
    <col min="45" max="45" width="11.109375" bestFit="1" customWidth="1"/>
    <col min="46" max="46" width="11.77734375" bestFit="1" customWidth="1"/>
  </cols>
  <sheetData>
    <row r="1" spans="1:46" x14ac:dyDescent="0.25">
      <c r="K1" t="s">
        <v>168</v>
      </c>
    </row>
    <row r="2" spans="1:46" x14ac:dyDescent="0.25">
      <c r="A2" t="s">
        <v>168</v>
      </c>
      <c r="U2" t="s">
        <v>168</v>
      </c>
      <c r="AD2" t="s">
        <v>168</v>
      </c>
      <c r="AN2" t="s">
        <v>168</v>
      </c>
    </row>
    <row r="3" spans="1:46" ht="13.8" thickBot="1" x14ac:dyDescent="0.3">
      <c r="K3" t="s">
        <v>169</v>
      </c>
    </row>
    <row r="4" spans="1:46" ht="13.8" thickBot="1" x14ac:dyDescent="0.3">
      <c r="A4" t="s">
        <v>169</v>
      </c>
      <c r="K4" s="7" t="s">
        <v>170</v>
      </c>
      <c r="L4" s="7" t="s">
        <v>171</v>
      </c>
      <c r="M4" s="7" t="s">
        <v>172</v>
      </c>
      <c r="N4" s="7" t="s">
        <v>173</v>
      </c>
      <c r="O4" s="7" t="s">
        <v>174</v>
      </c>
      <c r="U4" t="s">
        <v>169</v>
      </c>
      <c r="AD4" t="s">
        <v>169</v>
      </c>
      <c r="AN4" t="s">
        <v>169</v>
      </c>
    </row>
    <row r="5" spans="1:46" x14ac:dyDescent="0.25">
      <c r="A5" s="7" t="s">
        <v>170</v>
      </c>
      <c r="B5" s="7" t="s">
        <v>171</v>
      </c>
      <c r="C5" s="7" t="s">
        <v>172</v>
      </c>
      <c r="D5" s="7" t="s">
        <v>173</v>
      </c>
      <c r="E5" s="7" t="s">
        <v>174</v>
      </c>
      <c r="K5" t="s">
        <v>165</v>
      </c>
      <c r="L5">
        <v>34</v>
      </c>
      <c r="M5">
        <v>144</v>
      </c>
      <c r="N5">
        <v>4.2352941176470589</v>
      </c>
      <c r="O5">
        <v>1.3975044563279859</v>
      </c>
      <c r="U5" s="7" t="s">
        <v>170</v>
      </c>
      <c r="V5" s="7" t="s">
        <v>171</v>
      </c>
      <c r="W5" s="7" t="s">
        <v>172</v>
      </c>
      <c r="X5" s="7" t="s">
        <v>173</v>
      </c>
      <c r="Y5" s="7" t="s">
        <v>174</v>
      </c>
      <c r="AD5" s="7" t="s">
        <v>170</v>
      </c>
      <c r="AE5" s="7" t="s">
        <v>171</v>
      </c>
      <c r="AF5" s="7" t="s">
        <v>172</v>
      </c>
      <c r="AG5" s="7" t="s">
        <v>173</v>
      </c>
      <c r="AH5" s="7" t="s">
        <v>174</v>
      </c>
      <c r="AN5" s="7" t="s">
        <v>170</v>
      </c>
      <c r="AO5" s="7" t="s">
        <v>171</v>
      </c>
      <c r="AP5" s="7" t="s">
        <v>172</v>
      </c>
      <c r="AQ5" s="7" t="s">
        <v>173</v>
      </c>
      <c r="AR5" s="7" t="s">
        <v>174</v>
      </c>
    </row>
    <row r="6" spans="1:46" ht="13.8" thickBot="1" x14ac:dyDescent="0.3">
      <c r="A6" t="s">
        <v>166</v>
      </c>
      <c r="B6">
        <v>35</v>
      </c>
      <c r="C6">
        <v>60</v>
      </c>
      <c r="D6">
        <v>1.7142857142857142</v>
      </c>
      <c r="E6">
        <v>0.21008403361344527</v>
      </c>
      <c r="K6" s="6" t="s">
        <v>155</v>
      </c>
      <c r="L6" s="6">
        <v>35</v>
      </c>
      <c r="M6" s="6">
        <v>710</v>
      </c>
      <c r="N6" s="6">
        <v>20.285714285714285</v>
      </c>
      <c r="O6" s="6">
        <v>24.798319327731086</v>
      </c>
      <c r="U6" t="s">
        <v>167</v>
      </c>
      <c r="V6">
        <v>35</v>
      </c>
      <c r="W6">
        <v>149</v>
      </c>
      <c r="X6">
        <v>4.2571428571428571</v>
      </c>
      <c r="Y6">
        <v>31.431932773109246</v>
      </c>
      <c r="AD6" t="s">
        <v>166</v>
      </c>
      <c r="AE6">
        <v>35</v>
      </c>
      <c r="AF6">
        <v>60</v>
      </c>
      <c r="AG6">
        <v>1.7142857142857142</v>
      </c>
      <c r="AH6">
        <v>0.21008403361344527</v>
      </c>
      <c r="AN6" t="s">
        <v>186</v>
      </c>
      <c r="AO6">
        <v>35</v>
      </c>
      <c r="AP6">
        <v>60</v>
      </c>
      <c r="AQ6">
        <v>1.7142857142857142</v>
      </c>
      <c r="AR6">
        <v>0.21008403361344527</v>
      </c>
    </row>
    <row r="7" spans="1:46" ht="13.8" thickBot="1" x14ac:dyDescent="0.3">
      <c r="A7" s="6" t="s">
        <v>155</v>
      </c>
      <c r="B7" s="6">
        <v>35</v>
      </c>
      <c r="C7" s="6">
        <v>710</v>
      </c>
      <c r="D7" s="6">
        <v>20.285714285714285</v>
      </c>
      <c r="E7" s="6">
        <v>24.798319327731086</v>
      </c>
      <c r="U7" s="6" t="s">
        <v>164</v>
      </c>
      <c r="V7" s="6">
        <v>35</v>
      </c>
      <c r="W7" s="6">
        <v>114</v>
      </c>
      <c r="X7" s="6">
        <v>3.2571428571428571</v>
      </c>
      <c r="Y7" s="6">
        <v>1.0789915966386563</v>
      </c>
      <c r="AD7" s="6" t="s">
        <v>167</v>
      </c>
      <c r="AE7" s="6">
        <v>35</v>
      </c>
      <c r="AF7" s="6">
        <v>149</v>
      </c>
      <c r="AG7" s="6">
        <v>4.2571428571428571</v>
      </c>
      <c r="AH7" s="6">
        <v>31.431932773109246</v>
      </c>
      <c r="AN7" s="6" t="s">
        <v>156</v>
      </c>
      <c r="AO7" s="6">
        <v>35</v>
      </c>
      <c r="AP7" s="6">
        <v>572</v>
      </c>
      <c r="AQ7" s="6">
        <v>16.342857142857142</v>
      </c>
      <c r="AR7" s="6">
        <v>19.76134453781512</v>
      </c>
    </row>
    <row r="9" spans="1:46" ht="13.8" thickBot="1" x14ac:dyDescent="0.3">
      <c r="K9" t="s">
        <v>175</v>
      </c>
    </row>
    <row r="10" spans="1:46" ht="13.8" thickBot="1" x14ac:dyDescent="0.3">
      <c r="A10" t="s">
        <v>175</v>
      </c>
      <c r="K10" s="7" t="s">
        <v>176</v>
      </c>
      <c r="L10" s="7" t="s">
        <v>177</v>
      </c>
      <c r="M10" s="7" t="s">
        <v>178</v>
      </c>
      <c r="N10" s="7" t="s">
        <v>179</v>
      </c>
      <c r="O10" s="7" t="s">
        <v>180</v>
      </c>
      <c r="P10" s="7" t="s">
        <v>181</v>
      </c>
      <c r="Q10" s="7" t="s">
        <v>182</v>
      </c>
      <c r="U10" t="s">
        <v>175</v>
      </c>
      <c r="AD10" t="s">
        <v>175</v>
      </c>
      <c r="AN10" t="s">
        <v>175</v>
      </c>
    </row>
    <row r="11" spans="1:46" x14ac:dyDescent="0.25">
      <c r="A11" s="7" t="s">
        <v>176</v>
      </c>
      <c r="B11" s="7" t="s">
        <v>177</v>
      </c>
      <c r="C11" s="7" t="s">
        <v>178</v>
      </c>
      <c r="D11" s="7" t="s">
        <v>179</v>
      </c>
      <c r="E11" s="7" t="s">
        <v>180</v>
      </c>
      <c r="F11" s="7" t="s">
        <v>181</v>
      </c>
      <c r="G11" s="7" t="s">
        <v>182</v>
      </c>
      <c r="K11" t="s">
        <v>183</v>
      </c>
      <c r="L11">
        <v>4442.9423943490447</v>
      </c>
      <c r="M11">
        <v>1</v>
      </c>
      <c r="N11">
        <v>4442.9423943490447</v>
      </c>
      <c r="O11">
        <v>334.74683629249989</v>
      </c>
      <c r="P11">
        <v>9.2629099684890918E-28</v>
      </c>
      <c r="Q11">
        <v>3.9840493493387732</v>
      </c>
      <c r="U11" s="7" t="s">
        <v>176</v>
      </c>
      <c r="V11" s="7" t="s">
        <v>177</v>
      </c>
      <c r="W11" s="7" t="s">
        <v>178</v>
      </c>
      <c r="X11" s="7" t="s">
        <v>179</v>
      </c>
      <c r="Y11" s="7" t="s">
        <v>180</v>
      </c>
      <c r="Z11" s="7" t="s">
        <v>181</v>
      </c>
      <c r="AA11" s="7" t="s">
        <v>182</v>
      </c>
      <c r="AD11" s="7" t="s">
        <v>176</v>
      </c>
      <c r="AE11" s="7" t="s">
        <v>177</v>
      </c>
      <c r="AF11" s="7" t="s">
        <v>178</v>
      </c>
      <c r="AG11" s="7" t="s">
        <v>179</v>
      </c>
      <c r="AH11" s="7" t="s">
        <v>180</v>
      </c>
      <c r="AI11" s="7" t="s">
        <v>181</v>
      </c>
      <c r="AJ11" s="7" t="s">
        <v>182</v>
      </c>
      <c r="AN11" s="7" t="s">
        <v>176</v>
      </c>
      <c r="AO11" s="7" t="s">
        <v>177</v>
      </c>
      <c r="AP11" s="7" t="s">
        <v>178</v>
      </c>
      <c r="AQ11" s="7" t="s">
        <v>179</v>
      </c>
      <c r="AR11" s="7" t="s">
        <v>180</v>
      </c>
      <c r="AS11" s="7" t="s">
        <v>181</v>
      </c>
      <c r="AT11" s="7" t="s">
        <v>182</v>
      </c>
    </row>
    <row r="12" spans="1:46" x14ac:dyDescent="0.25">
      <c r="A12" t="s">
        <v>183</v>
      </c>
      <c r="B12">
        <v>6035.7142857142853</v>
      </c>
      <c r="C12">
        <v>1</v>
      </c>
      <c r="D12">
        <v>6035.7142857142853</v>
      </c>
      <c r="E12">
        <v>482.69489247311816</v>
      </c>
      <c r="F12">
        <v>1.3371056842092967E-32</v>
      </c>
      <c r="G12">
        <v>3.9818962563017628</v>
      </c>
      <c r="K12" t="s">
        <v>184</v>
      </c>
      <c r="L12">
        <v>889.26050420168087</v>
      </c>
      <c r="M12">
        <v>67</v>
      </c>
      <c r="N12">
        <v>13.272544838831058</v>
      </c>
      <c r="U12" t="s">
        <v>183</v>
      </c>
      <c r="V12">
        <v>17.500000000001137</v>
      </c>
      <c r="W12">
        <v>1</v>
      </c>
      <c r="X12">
        <v>17.500000000001137</v>
      </c>
      <c r="Y12">
        <v>1.0765612076096647</v>
      </c>
      <c r="Z12">
        <v>0.30314366245607616</v>
      </c>
      <c r="AA12">
        <v>3.9818962563017628</v>
      </c>
      <c r="AD12" t="s">
        <v>183</v>
      </c>
      <c r="AE12">
        <v>113.15714285714444</v>
      </c>
      <c r="AF12">
        <v>1</v>
      </c>
      <c r="AG12">
        <v>113.15714285714444</v>
      </c>
      <c r="AH12">
        <v>7.1523344133426399</v>
      </c>
      <c r="AI12">
        <v>9.3682486037268871E-3</v>
      </c>
      <c r="AJ12">
        <v>3.9818962563017628</v>
      </c>
      <c r="AN12" t="s">
        <v>183</v>
      </c>
      <c r="AO12">
        <v>3744.914285714287</v>
      </c>
      <c r="AP12">
        <v>1</v>
      </c>
      <c r="AQ12">
        <v>3744.914285714287</v>
      </c>
      <c r="AR12">
        <v>375.02718168812618</v>
      </c>
      <c r="AS12">
        <v>2.2173036304009259E-29</v>
      </c>
      <c r="AT12">
        <v>3.9818962563017628</v>
      </c>
    </row>
    <row r="13" spans="1:46" x14ac:dyDescent="0.25">
      <c r="A13" t="s">
        <v>184</v>
      </c>
      <c r="B13">
        <v>850.28571428571445</v>
      </c>
      <c r="C13">
        <v>68</v>
      </c>
      <c r="D13">
        <v>12.504201680672271</v>
      </c>
      <c r="U13" t="s">
        <v>184</v>
      </c>
      <c r="V13">
        <v>1105.3714285714286</v>
      </c>
      <c r="W13">
        <v>68</v>
      </c>
      <c r="X13">
        <v>16.255462184873949</v>
      </c>
      <c r="AD13" t="s">
        <v>184</v>
      </c>
      <c r="AE13">
        <v>1075.8285714285714</v>
      </c>
      <c r="AF13">
        <v>68</v>
      </c>
      <c r="AG13">
        <v>15.821008403361345</v>
      </c>
      <c r="AN13" t="s">
        <v>184</v>
      </c>
      <c r="AO13">
        <v>679.02857142857124</v>
      </c>
      <c r="AP13">
        <v>68</v>
      </c>
      <c r="AQ13">
        <v>9.9857142857142822</v>
      </c>
    </row>
    <row r="14" spans="1:46" ht="13.8" thickBot="1" x14ac:dyDescent="0.3">
      <c r="K14" s="6" t="s">
        <v>185</v>
      </c>
      <c r="L14" s="6">
        <v>5332.2028985507259</v>
      </c>
      <c r="M14" s="6">
        <v>68</v>
      </c>
      <c r="N14" s="6"/>
      <c r="O14" s="6"/>
      <c r="P14" s="6"/>
      <c r="Q14" s="6"/>
    </row>
    <row r="15" spans="1:46" ht="13.8" thickBot="1" x14ac:dyDescent="0.3">
      <c r="A15" s="6" t="s">
        <v>185</v>
      </c>
      <c r="B15" s="6">
        <v>6886</v>
      </c>
      <c r="C15" s="6">
        <v>69</v>
      </c>
      <c r="D15" s="6"/>
      <c r="E15" s="6"/>
      <c r="F15" s="6"/>
      <c r="G15" s="6"/>
      <c r="U15" s="6" t="s">
        <v>185</v>
      </c>
      <c r="V15" s="6">
        <v>1122.8714285714298</v>
      </c>
      <c r="W15" s="6">
        <v>69</v>
      </c>
      <c r="X15" s="6"/>
      <c r="Y15" s="6"/>
      <c r="Z15" s="6"/>
      <c r="AA15" s="6"/>
      <c r="AD15" s="6" t="s">
        <v>185</v>
      </c>
      <c r="AE15" s="6">
        <v>1188.9857142857159</v>
      </c>
      <c r="AF15" s="6">
        <v>69</v>
      </c>
      <c r="AG15" s="6"/>
      <c r="AH15" s="6"/>
      <c r="AI15" s="6"/>
      <c r="AJ15" s="6"/>
      <c r="AN15" s="6" t="s">
        <v>185</v>
      </c>
      <c r="AO15" s="6">
        <v>4423.942857142858</v>
      </c>
      <c r="AP15" s="6">
        <v>69</v>
      </c>
      <c r="AQ15" s="6"/>
      <c r="AR15" s="6"/>
      <c r="AS15" s="6"/>
      <c r="AT15" s="6"/>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FA969-F630-4365-BE80-DC0E5CCF522B}">
  <dimension ref="A1"/>
  <sheetViews>
    <sheetView showGridLines="0" showRowColHeaders="0" tabSelected="1" workbookViewId="0">
      <selection activeCell="U17" sqref="U17"/>
    </sheetView>
  </sheetViews>
  <sheetFormatPr defaultColWidth="8.77734375" defaultRowHeight="13.2" x14ac:dyDescent="0.25"/>
  <cols>
    <col min="1" max="16384" width="8.77734375" style="1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Form Responses 1</vt:lpstr>
      <vt:lpstr>Coded Data</vt:lpstr>
      <vt:lpstr>Transpose column</vt:lpstr>
      <vt:lpstr>Coding Keys</vt:lpstr>
      <vt:lpstr>SUMMARY</vt:lpstr>
      <vt:lpstr>Anova Analysis </vt:lpstr>
      <vt:lpstr>DashBoard Page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OLIVIA</cp:lastModifiedBy>
  <dcterms:created xsi:type="dcterms:W3CDTF">2026-04-24T11:16:17Z</dcterms:created>
  <dcterms:modified xsi:type="dcterms:W3CDTF">2026-09-11T12:48:58Z</dcterms:modified>
</cp:coreProperties>
</file>